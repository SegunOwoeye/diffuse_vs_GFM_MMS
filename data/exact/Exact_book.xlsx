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oluse\diffuse_vs_GFM_MMS\data\exact\"/>
    </mc:Choice>
  </mc:AlternateContent>
  <xr:revisionPtr revIDLastSave="0" documentId="8_{70269F98-13F6-4D70-A9DD-311C2975E3F9}" xr6:coauthVersionLast="47" xr6:coauthVersionMax="47" xr10:uidLastSave="{00000000-0000-0000-0000-000000000000}"/>
  <bookViews>
    <workbookView xWindow="38295" yWindow="0" windowWidth="14610" windowHeight="15585" firstSheet="2" activeTab="6" xr2:uid="{D66019F5-4E54-40E9-9E02-CE27C0A9D82D}"/>
  </bookViews>
  <sheets>
    <sheet name="Test1" sheetId="1" r:id="rId1"/>
    <sheet name="Test2" sheetId="2" r:id="rId2"/>
    <sheet name="Test3" sheetId="3" r:id="rId3"/>
    <sheet name="Test4" sheetId="4" r:id="rId4"/>
    <sheet name="Test5" sheetId="5" r:id="rId5"/>
    <sheet name="explosion1" sheetId="7" r:id="rId6"/>
    <sheet name="explosion2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8" l="1"/>
  <c r="A12" i="7"/>
  <c r="A10" i="7"/>
  <c r="H10" i="7"/>
  <c r="G9" i="7"/>
  <c r="G11" i="7"/>
  <c r="J12" i="7"/>
  <c r="K13" i="7"/>
  <c r="D11" i="7"/>
  <c r="K8" i="5"/>
  <c r="J8" i="5"/>
  <c r="J10" i="5"/>
  <c r="H8" i="5"/>
  <c r="G8" i="5"/>
  <c r="G10" i="5"/>
  <c r="D10" i="5"/>
  <c r="D8" i="5"/>
  <c r="E8" i="5"/>
  <c r="B6" i="5"/>
  <c r="A5" i="5"/>
  <c r="A6" i="5"/>
  <c r="A9" i="5"/>
  <c r="J11" i="4"/>
  <c r="H6" i="4"/>
  <c r="G7" i="4"/>
  <c r="G5" i="4"/>
  <c r="A9" i="4"/>
  <c r="B11" i="4"/>
  <c r="B9" i="4"/>
  <c r="K4" i="3"/>
  <c r="K9" i="3"/>
  <c r="G4" i="3"/>
  <c r="H4" i="3"/>
  <c r="H3" i="3"/>
  <c r="H5" i="3"/>
  <c r="E7" i="3"/>
  <c r="E11" i="3"/>
  <c r="D5" i="3"/>
  <c r="D9" i="3"/>
  <c r="E4" i="3"/>
  <c r="B5" i="3"/>
  <c r="B8" i="3"/>
  <c r="B9" i="3"/>
  <c r="B4" i="3"/>
  <c r="A7" i="3"/>
  <c r="A8" i="3"/>
  <c r="K8" i="2"/>
  <c r="K7" i="2"/>
  <c r="K10" i="2"/>
  <c r="K4" i="2"/>
  <c r="K3" i="2"/>
  <c r="H4" i="2"/>
  <c r="H6" i="2"/>
  <c r="G5" i="2"/>
  <c r="E6" i="2"/>
  <c r="D9" i="2"/>
  <c r="E4" i="2"/>
  <c r="B10" i="2"/>
  <c r="B6" i="2"/>
  <c r="A8" i="2"/>
  <c r="B4" i="2"/>
  <c r="K9" i="1"/>
  <c r="K8" i="1"/>
  <c r="K4" i="1"/>
  <c r="K3" i="1"/>
  <c r="J9" i="1"/>
  <c r="G6" i="1"/>
  <c r="G5" i="1"/>
  <c r="H6" i="1"/>
  <c r="H5" i="1"/>
  <c r="H4" i="1"/>
  <c r="H3" i="1"/>
  <c r="D7" i="1"/>
  <c r="B9" i="1"/>
  <c r="B11" i="1"/>
  <c r="A10" i="1"/>
</calcChain>
</file>

<file path=xl/sharedStrings.xml><?xml version="1.0" encoding="utf-8"?>
<sst xmlns="http://schemas.openxmlformats.org/spreadsheetml/2006/main" count="84" uniqueCount="7">
  <si>
    <t>Density</t>
  </si>
  <si>
    <t>x</t>
  </si>
  <si>
    <t>y</t>
  </si>
  <si>
    <t>Velocity</t>
  </si>
  <si>
    <t>Entropy</t>
  </si>
  <si>
    <t>Pressure</t>
  </si>
  <si>
    <t>Internal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</si>
</sst>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Test1!$A$3:$A$13</c:f>
              <c:numCache>
                <c:formatCode>General</c:formatCode>
                <c:ptCount val="11"/>
                <c:pt idx="0">
                  <c:v>0</c:v>
                </c:pt>
                <c:pt idx="1">
                  <c:v>0.228791612288198</c:v>
                </c:pt>
                <c:pt idx="2">
                  <c:v>0.30142082887704702</c:v>
                </c:pt>
                <c:pt idx="3">
                  <c:v>0.38741968869603099</c:v>
                </c:pt>
                <c:pt idx="4">
                  <c:v>0.45619176399823402</c:v>
                </c:pt>
                <c:pt idx="5">
                  <c:v>0.5</c:v>
                </c:pt>
                <c:pt idx="6">
                  <c:v>0.71046364743802104</c:v>
                </c:pt>
                <c:pt idx="7">
                  <c:v>0.71046364743802104</c:v>
                </c:pt>
                <c:pt idx="8">
                  <c:v>0.860560259194868</c:v>
                </c:pt>
                <c:pt idx="9">
                  <c:v>0.86073144339692198</c:v>
                </c:pt>
                <c:pt idx="10">
                  <c:v>1</c:v>
                </c:pt>
              </c:numCache>
            </c:numRef>
          </c:xVal>
          <c:yVal>
            <c:numRef>
              <c:f>Test1!$B$3:$B$13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0.80955364897187398</c:v>
                </c:pt>
                <c:pt idx="3">
                  <c:v>0.59674969885714901</c:v>
                </c:pt>
                <c:pt idx="4">
                  <c:v>0.48</c:v>
                </c:pt>
                <c:pt idx="5">
                  <c:v>0.41849999999999998</c:v>
                </c:pt>
                <c:pt idx="6">
                  <c:v>0.41849999999999998</c:v>
                </c:pt>
                <c:pt idx="7">
                  <c:v>0.29899999999999999</c:v>
                </c:pt>
                <c:pt idx="8">
                  <c:v>0.29899999999999999</c:v>
                </c:pt>
                <c:pt idx="9">
                  <c:v>0.125</c:v>
                </c:pt>
                <c:pt idx="10">
                  <c:v>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1D-4B2D-8151-34421FE3E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388079"/>
        <c:axId val="1618825199"/>
      </c:scatterChart>
      <c:valAx>
        <c:axId val="173538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25199"/>
        <c:crosses val="autoZero"/>
        <c:crossBetween val="midCat"/>
      </c:valAx>
      <c:valAx>
        <c:axId val="161882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38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Test1!$D$3:$D$8</c:f>
              <c:numCache>
                <c:formatCode>General</c:formatCode>
                <c:ptCount val="6"/>
                <c:pt idx="0">
                  <c:v>0</c:v>
                </c:pt>
                <c:pt idx="1">
                  <c:v>0.228698743005153</c:v>
                </c:pt>
                <c:pt idx="2">
                  <c:v>0.49063303391445401</c:v>
                </c:pt>
                <c:pt idx="3">
                  <c:v>0.86050393728771102</c:v>
                </c:pt>
                <c:pt idx="4">
                  <c:v>0.86050393728771102</c:v>
                </c:pt>
                <c:pt idx="5">
                  <c:v>1</c:v>
                </c:pt>
              </c:numCache>
            </c:numRef>
          </c:xVal>
          <c:yVal>
            <c:numRef>
              <c:f>Test1!$E$3:$E$8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300</c:v>
                </c:pt>
                <c:pt idx="3">
                  <c:v>300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07-4358-B12F-1819A5FD7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256063"/>
        <c:axId val="1618810319"/>
      </c:scatterChart>
      <c:valAx>
        <c:axId val="181925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10319"/>
        <c:crosses val="autoZero"/>
        <c:crossBetween val="midCat"/>
      </c:valAx>
      <c:valAx>
        <c:axId val="161881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25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Entropy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Test1!$G$3:$G$8</c:f>
              <c:numCache>
                <c:formatCode>General</c:formatCode>
                <c:ptCount val="6"/>
                <c:pt idx="0">
                  <c:v>0</c:v>
                </c:pt>
                <c:pt idx="1">
                  <c:v>0.71148511189199104</c:v>
                </c:pt>
                <c:pt idx="2">
                  <c:v>0.71148511189199104</c:v>
                </c:pt>
                <c:pt idx="3">
                  <c:v>0.86340732314155899</c:v>
                </c:pt>
                <c:pt idx="4">
                  <c:v>0.86340732314155899</c:v>
                </c:pt>
                <c:pt idx="5">
                  <c:v>1</c:v>
                </c:pt>
              </c:numCache>
            </c:numRef>
          </c:xVal>
          <c:yVal>
            <c:numRef>
              <c:f>Test1!$H$3:$H$8</c:f>
              <c:numCache>
                <c:formatCode>General</c:formatCode>
                <c:ptCount val="6"/>
                <c:pt idx="0">
                  <c:v>100000</c:v>
                </c:pt>
                <c:pt idx="1">
                  <c:v>100000</c:v>
                </c:pt>
                <c:pt idx="2">
                  <c:v>125000</c:v>
                </c:pt>
                <c:pt idx="3">
                  <c:v>125000</c:v>
                </c:pt>
                <c:pt idx="4">
                  <c:v>121257</c:v>
                </c:pt>
                <c:pt idx="5">
                  <c:v>121257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D7-4F2F-BA00-E01D1B71C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190671"/>
        <c:axId val="1618844879"/>
      </c:scatterChart>
      <c:valAx>
        <c:axId val="183219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44879"/>
        <c:crosses val="autoZero"/>
        <c:crossBetween val="midCat"/>
      </c:valAx>
      <c:valAx>
        <c:axId val="1618844879"/>
        <c:scaling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190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Test1!$J$3:$J$10</c:f>
              <c:numCache>
                <c:formatCode>General</c:formatCode>
                <c:ptCount val="8"/>
                <c:pt idx="0">
                  <c:v>0</c:v>
                </c:pt>
                <c:pt idx="1">
                  <c:v>0.227527191800144</c:v>
                </c:pt>
                <c:pt idx="2">
                  <c:v>0.28529291916120703</c:v>
                </c:pt>
                <c:pt idx="3">
                  <c:v>0.40833150487414899</c:v>
                </c:pt>
                <c:pt idx="4">
                  <c:v>0.49274989812870201</c:v>
                </c:pt>
                <c:pt idx="5">
                  <c:v>0.85987211234053196</c:v>
                </c:pt>
                <c:pt idx="6">
                  <c:v>0.85987211234053196</c:v>
                </c:pt>
                <c:pt idx="7">
                  <c:v>1</c:v>
                </c:pt>
              </c:numCache>
            </c:numRef>
          </c:xVal>
          <c:yVal>
            <c:numRef>
              <c:f>Test1!$K$3:$K$10</c:f>
              <c:numCache>
                <c:formatCode>General</c:formatCode>
                <c:ptCount val="8"/>
                <c:pt idx="0">
                  <c:v>100000</c:v>
                </c:pt>
                <c:pt idx="1">
                  <c:v>100000</c:v>
                </c:pt>
                <c:pt idx="2">
                  <c:v>79016.393442622895</c:v>
                </c:pt>
                <c:pt idx="3">
                  <c:v>44098.360655737699</c:v>
                </c:pt>
                <c:pt idx="4">
                  <c:v>29016.393442622899</c:v>
                </c:pt>
                <c:pt idx="5">
                  <c:v>29016.393442622899</c:v>
                </c:pt>
                <c:pt idx="6">
                  <c:v>9016.3934426229607</c:v>
                </c:pt>
                <c:pt idx="7">
                  <c:v>9016.3934426229607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25-49EC-BA91-A51D291C7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878207"/>
        <c:axId val="1618789199"/>
      </c:scatterChart>
      <c:valAx>
        <c:axId val="181687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789199"/>
        <c:crosses val="autoZero"/>
        <c:crossBetween val="midCat"/>
      </c:valAx>
      <c:valAx>
        <c:axId val="161878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878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Test2!$A$3:$A$13</c:f>
              <c:numCache>
                <c:formatCode>General</c:formatCode>
                <c:ptCount val="11"/>
                <c:pt idx="0">
                  <c:v>0</c:v>
                </c:pt>
                <c:pt idx="1">
                  <c:v>0.44054371645440898</c:v>
                </c:pt>
                <c:pt idx="2">
                  <c:v>0.45123384253818999</c:v>
                </c:pt>
                <c:pt idx="3">
                  <c:v>0.461930320449709</c:v>
                </c:pt>
                <c:pt idx="4">
                  <c:v>0.53257852447041598</c:v>
                </c:pt>
                <c:pt idx="5">
                  <c:v>0.53257852447041598</c:v>
                </c:pt>
                <c:pt idx="6">
                  <c:v>0.71856004065169699</c:v>
                </c:pt>
                <c:pt idx="7">
                  <c:v>0.74600946422333003</c:v>
                </c:pt>
                <c:pt idx="8">
                  <c:v>1</c:v>
                </c:pt>
              </c:numCache>
            </c:numRef>
          </c:xVal>
          <c:yVal>
            <c:numRef>
              <c:f>Test2!$B$3:$B$13</c:f>
              <c:numCache>
                <c:formatCode>General</c:formatCode>
                <c:ptCount val="11"/>
                <c:pt idx="0">
                  <c:v>1.33294</c:v>
                </c:pt>
                <c:pt idx="1">
                  <c:v>1.33294</c:v>
                </c:pt>
                <c:pt idx="2">
                  <c:v>1.2628322799885601</c:v>
                </c:pt>
                <c:pt idx="3">
                  <c:v>1.18599390224537</c:v>
                </c:pt>
                <c:pt idx="4">
                  <c:v>1.18599390224537</c:v>
                </c:pt>
                <c:pt idx="5">
                  <c:v>0.15071553339473401</c:v>
                </c:pt>
                <c:pt idx="6">
                  <c:v>0.14660939435322401</c:v>
                </c:pt>
                <c:pt idx="7">
                  <c:v>0.13789999999999999</c:v>
                </c:pt>
                <c:pt idx="8">
                  <c:v>0.13789999999999999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DF-4B5F-BFB3-8C1816B8B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388079"/>
        <c:axId val="1618825199"/>
      </c:scatterChart>
      <c:valAx>
        <c:axId val="173538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25199"/>
        <c:crosses val="autoZero"/>
        <c:crossBetween val="midCat"/>
      </c:valAx>
      <c:valAx>
        <c:axId val="161882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38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Test2!$D$3:$D$12</c:f>
              <c:numCache>
                <c:formatCode>General</c:formatCode>
                <c:ptCount val="10"/>
                <c:pt idx="0">
                  <c:v>0</c:v>
                </c:pt>
                <c:pt idx="1">
                  <c:v>0.44380403458213202</c:v>
                </c:pt>
                <c:pt idx="2">
                  <c:v>0.45148895292987501</c:v>
                </c:pt>
                <c:pt idx="3">
                  <c:v>0.46109510086455302</c:v>
                </c:pt>
                <c:pt idx="4">
                  <c:v>0.68780019212295795</c:v>
                </c:pt>
                <c:pt idx="5">
                  <c:v>0.72142170989433196</c:v>
                </c:pt>
                <c:pt idx="6">
                  <c:v>0.73102785782901003</c:v>
                </c:pt>
                <c:pt idx="7">
                  <c:v>0.73102785782901003</c:v>
                </c:pt>
                <c:pt idx="8">
                  <c:v>0.75600384245917396</c:v>
                </c:pt>
                <c:pt idx="9">
                  <c:v>1</c:v>
                </c:pt>
              </c:numCache>
            </c:numRef>
          </c:xVal>
          <c:yVal>
            <c:numRef>
              <c:f>Test2!$E$3:$E$12</c:f>
              <c:numCache>
                <c:formatCode>General</c:formatCode>
                <c:ptCount val="10"/>
                <c:pt idx="0">
                  <c:v>111.78</c:v>
                </c:pt>
                <c:pt idx="1">
                  <c:v>111.78</c:v>
                </c:pt>
                <c:pt idx="2">
                  <c:v>139.83287743357201</c:v>
                </c:pt>
                <c:pt idx="3">
                  <c:v>159.51017362545701</c:v>
                </c:pt>
                <c:pt idx="4">
                  <c:v>159.51017362545701</c:v>
                </c:pt>
                <c:pt idx="5">
                  <c:v>156.01583706857301</c:v>
                </c:pt>
                <c:pt idx="6">
                  <c:v>139.75282038944101</c:v>
                </c:pt>
                <c:pt idx="7">
                  <c:v>1.8206701290640901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36-4FD8-B27C-B990A9A3F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256063"/>
        <c:axId val="1618810319"/>
      </c:scatterChart>
      <c:valAx>
        <c:axId val="181925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10319"/>
        <c:crosses val="autoZero"/>
        <c:crossBetween val="midCat"/>
      </c:valAx>
      <c:valAx>
        <c:axId val="161881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25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Entropy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Test2!$G$3:$G$8</c:f>
              <c:numCache>
                <c:formatCode>General</c:formatCode>
                <c:ptCount val="6"/>
                <c:pt idx="0">
                  <c:v>0</c:v>
                </c:pt>
                <c:pt idx="1">
                  <c:v>0.53093702208883797</c:v>
                </c:pt>
                <c:pt idx="2">
                  <c:v>0.53093702208883797</c:v>
                </c:pt>
                <c:pt idx="3">
                  <c:v>1</c:v>
                </c:pt>
              </c:numCache>
            </c:numRef>
          </c:xVal>
          <c:yVal>
            <c:numRef>
              <c:f>Test2!$H$3:$H$8</c:f>
              <c:numCache>
                <c:formatCode>General</c:formatCode>
                <c:ptCount val="6"/>
                <c:pt idx="0">
                  <c:v>116138.880264928</c:v>
                </c:pt>
                <c:pt idx="1">
                  <c:v>116138.880264928</c:v>
                </c:pt>
                <c:pt idx="2">
                  <c:v>2727892.4764565802</c:v>
                </c:pt>
                <c:pt idx="3">
                  <c:v>2727892.4764565802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4-44BD-A9DE-60822038F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190671"/>
        <c:axId val="1618844879"/>
      </c:scatterChart>
      <c:valAx>
        <c:axId val="183219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44879"/>
        <c:crosses val="autoZero"/>
        <c:crossBetween val="midCat"/>
      </c:valAx>
      <c:valAx>
        <c:axId val="1618844879"/>
        <c:scaling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190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Test2!$J$3:$J$11</c:f>
              <c:numCache>
                <c:formatCode>General</c:formatCode>
                <c:ptCount val="9"/>
                <c:pt idx="0">
                  <c:v>0</c:v>
                </c:pt>
                <c:pt idx="1">
                  <c:v>0.44430885606222698</c:v>
                </c:pt>
                <c:pt idx="2">
                  <c:v>0.45636194961821103</c:v>
                </c:pt>
                <c:pt idx="3">
                  <c:v>0.46750517376721601</c:v>
                </c:pt>
                <c:pt idx="4">
                  <c:v>0.59946121458645496</c:v>
                </c:pt>
                <c:pt idx="5">
                  <c:v>0.72470919860129801</c:v>
                </c:pt>
                <c:pt idx="6">
                  <c:v>0.73370798544208904</c:v>
                </c:pt>
                <c:pt idx="7">
                  <c:v>0.746817241133233</c:v>
                </c:pt>
                <c:pt idx="8">
                  <c:v>1</c:v>
                </c:pt>
              </c:numCache>
            </c:numRef>
          </c:xVal>
          <c:yVal>
            <c:numRef>
              <c:f>Test2!$K$3:$K$11</c:f>
              <c:numCache>
                <c:formatCode>General</c:formatCode>
                <c:ptCount val="9"/>
                <c:pt idx="0">
                  <c:v>150000</c:v>
                </c:pt>
                <c:pt idx="1">
                  <c:v>150000</c:v>
                </c:pt>
                <c:pt idx="2">
                  <c:v>137500</c:v>
                </c:pt>
                <c:pt idx="3">
                  <c:v>126666.666666666</c:v>
                </c:pt>
                <c:pt idx="4">
                  <c:v>126666.666666666</c:v>
                </c:pt>
                <c:pt idx="5">
                  <c:v>126666.666666666</c:v>
                </c:pt>
                <c:pt idx="6">
                  <c:v>109629.62962962899</c:v>
                </c:pt>
                <c:pt idx="7">
                  <c:v>100000</c:v>
                </c:pt>
                <c:pt idx="8">
                  <c:v>100000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68-470C-BE9E-FD0B54D22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878207"/>
        <c:axId val="1618789199"/>
      </c:scatterChart>
      <c:valAx>
        <c:axId val="181687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789199"/>
        <c:crosses val="autoZero"/>
        <c:crossBetween val="midCat"/>
      </c:valAx>
      <c:valAx>
        <c:axId val="161878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878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Test3!$A$3:$A$13</c:f>
              <c:numCache>
                <c:formatCode>General</c:formatCode>
                <c:ptCount val="11"/>
                <c:pt idx="0">
                  <c:v>0</c:v>
                </c:pt>
                <c:pt idx="1">
                  <c:v>0.28457404488478499</c:v>
                </c:pt>
                <c:pt idx="2">
                  <c:v>0.30287172558733</c:v>
                </c:pt>
                <c:pt idx="3">
                  <c:v>0.55577272386099197</c:v>
                </c:pt>
                <c:pt idx="4">
                  <c:v>0.55577272386099197</c:v>
                </c:pt>
                <c:pt idx="5">
                  <c:v>0.67461682804173195</c:v>
                </c:pt>
                <c:pt idx="6">
                  <c:v>0.67461682804173195</c:v>
                </c:pt>
                <c:pt idx="7">
                  <c:v>1</c:v>
                </c:pt>
              </c:numCache>
            </c:numRef>
          </c:xVal>
          <c:yVal>
            <c:numRef>
              <c:f>Test3!$B$3:$B$13</c:f>
              <c:numCache>
                <c:formatCode>General</c:formatCode>
                <c:ptCount val="11"/>
                <c:pt idx="0">
                  <c:v>1.33297</c:v>
                </c:pt>
                <c:pt idx="1">
                  <c:v>1.33297</c:v>
                </c:pt>
                <c:pt idx="2">
                  <c:v>1.4389161600240099</c:v>
                </c:pt>
                <c:pt idx="3">
                  <c:v>1.4389161600240099</c:v>
                </c:pt>
                <c:pt idx="4">
                  <c:v>4.7140399999999998</c:v>
                </c:pt>
                <c:pt idx="5">
                  <c:v>4.7140399999999998</c:v>
                </c:pt>
                <c:pt idx="6">
                  <c:v>3.1537999999999999</c:v>
                </c:pt>
                <c:pt idx="7">
                  <c:v>3.1537999999999999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6D-47C2-ACCA-B547095B7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388079"/>
        <c:axId val="1618825199"/>
      </c:scatterChart>
      <c:valAx>
        <c:axId val="173538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25199"/>
        <c:crosses val="autoZero"/>
        <c:crossBetween val="midCat"/>
      </c:valAx>
      <c:valAx>
        <c:axId val="161882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38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Test3!$D$3:$D$12</c:f>
              <c:numCache>
                <c:formatCode>General</c:formatCode>
                <c:ptCount val="10"/>
                <c:pt idx="0">
                  <c:v>0</c:v>
                </c:pt>
                <c:pt idx="1">
                  <c:v>0.27376069383770402</c:v>
                </c:pt>
                <c:pt idx="2">
                  <c:v>0.29674003425337497</c:v>
                </c:pt>
                <c:pt idx="3">
                  <c:v>0.29674003425337497</c:v>
                </c:pt>
                <c:pt idx="4">
                  <c:v>0.32948861944003099</c:v>
                </c:pt>
                <c:pt idx="5">
                  <c:v>0.64379643649060103</c:v>
                </c:pt>
                <c:pt idx="6">
                  <c:v>0.67342788175139001</c:v>
                </c:pt>
                <c:pt idx="7">
                  <c:v>0.67342788175139001</c:v>
                </c:pt>
                <c:pt idx="8">
                  <c:v>0.69870008852925602</c:v>
                </c:pt>
                <c:pt idx="9">
                  <c:v>1</c:v>
                </c:pt>
              </c:numCache>
            </c:numRef>
          </c:xVal>
          <c:yVal>
            <c:numRef>
              <c:f>Test3!$E$3:$E$12</c:f>
              <c:numCache>
                <c:formatCode>General</c:formatCode>
                <c:ptCount val="10"/>
                <c:pt idx="0">
                  <c:v>111.795</c:v>
                </c:pt>
                <c:pt idx="1">
                  <c:v>111.795</c:v>
                </c:pt>
                <c:pt idx="2">
                  <c:v>107.520415508339</c:v>
                </c:pt>
                <c:pt idx="3">
                  <c:v>83.640414019062703</c:v>
                </c:pt>
                <c:pt idx="4">
                  <c:v>83.245135027799805</c:v>
                </c:pt>
                <c:pt idx="5">
                  <c:v>83.245135027799805</c:v>
                </c:pt>
                <c:pt idx="6">
                  <c:v>76.351953435266097</c:v>
                </c:pt>
                <c:pt idx="7">
                  <c:v>2.1233369737885499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23-4118-BB13-287D4CAC1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256063"/>
        <c:axId val="1618810319"/>
      </c:scatterChart>
      <c:valAx>
        <c:axId val="181925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10319"/>
        <c:crosses val="autoZero"/>
        <c:crossBetween val="midCat"/>
      </c:valAx>
      <c:valAx>
        <c:axId val="161881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25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Entropy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Test3!$G$3:$G$8</c:f>
              <c:numCache>
                <c:formatCode>General</c:formatCode>
                <c:ptCount val="6"/>
                <c:pt idx="0">
                  <c:v>0</c:v>
                </c:pt>
                <c:pt idx="1">
                  <c:v>0.56034621410538799</c:v>
                </c:pt>
                <c:pt idx="2">
                  <c:v>0.56034621410538799</c:v>
                </c:pt>
                <c:pt idx="3">
                  <c:v>1</c:v>
                </c:pt>
              </c:numCache>
            </c:numRef>
          </c:xVal>
          <c:yVal>
            <c:numRef>
              <c:f>Test3!$H$3:$H$8</c:f>
              <c:numCache>
                <c:formatCode>General</c:formatCode>
                <c:ptCount val="6"/>
                <c:pt idx="0">
                  <c:v>100000</c:v>
                </c:pt>
                <c:pt idx="1">
                  <c:v>100000</c:v>
                </c:pt>
                <c:pt idx="2">
                  <c:v>23820.789322107401</c:v>
                </c:pt>
                <c:pt idx="3">
                  <c:v>23820.789322107401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2F-4EA9-93CE-DB8CEEE25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190671"/>
        <c:axId val="1618844879"/>
      </c:scatterChart>
      <c:valAx>
        <c:axId val="183219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44879"/>
        <c:crosses val="autoZero"/>
        <c:crossBetween val="midCat"/>
      </c:valAx>
      <c:valAx>
        <c:axId val="161884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190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Test3!$J$3:$J$10</c:f>
              <c:numCache>
                <c:formatCode>General</c:formatCode>
                <c:ptCount val="8"/>
                <c:pt idx="0">
                  <c:v>0</c:v>
                </c:pt>
                <c:pt idx="1">
                  <c:v>0.285906240668856</c:v>
                </c:pt>
                <c:pt idx="2">
                  <c:v>0.29036279486413802</c:v>
                </c:pt>
                <c:pt idx="3">
                  <c:v>0.65826366079426601</c:v>
                </c:pt>
                <c:pt idx="4">
                  <c:v>0.66667661988653304</c:v>
                </c:pt>
                <c:pt idx="5">
                  <c:v>0.67250671842341003</c:v>
                </c:pt>
                <c:pt idx="6">
                  <c:v>0.688981785607644</c:v>
                </c:pt>
                <c:pt idx="7">
                  <c:v>1</c:v>
                </c:pt>
              </c:numCache>
            </c:numRef>
          </c:xVal>
          <c:yVal>
            <c:numRef>
              <c:f>Test3!$K$3:$K$10</c:f>
              <c:numCache>
                <c:formatCode>General</c:formatCode>
                <c:ptCount val="8"/>
                <c:pt idx="0">
                  <c:v>149995</c:v>
                </c:pt>
                <c:pt idx="1">
                  <c:v>149995</c:v>
                </c:pt>
                <c:pt idx="2">
                  <c:v>165840</c:v>
                </c:pt>
                <c:pt idx="3">
                  <c:v>165840</c:v>
                </c:pt>
                <c:pt idx="4">
                  <c:v>163307.04687966499</c:v>
                </c:pt>
                <c:pt idx="5">
                  <c:v>101686.772170797</c:v>
                </c:pt>
                <c:pt idx="6">
                  <c:v>100000</c:v>
                </c:pt>
                <c:pt idx="7">
                  <c:v>100000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B3-4505-95B7-01655B819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878207"/>
        <c:axId val="1618789199"/>
      </c:scatterChart>
      <c:valAx>
        <c:axId val="181687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789199"/>
        <c:crosses val="autoZero"/>
        <c:crossBetween val="midCat"/>
      </c:valAx>
      <c:valAx>
        <c:axId val="161878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878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Test4!$A$3:$A$13</c:f>
              <c:numCache>
                <c:formatCode>General</c:formatCode>
                <c:ptCount val="11"/>
                <c:pt idx="0">
                  <c:v>0</c:v>
                </c:pt>
                <c:pt idx="1">
                  <c:v>0.20163342812641899</c:v>
                </c:pt>
                <c:pt idx="2">
                  <c:v>0.221076678767263</c:v>
                </c:pt>
                <c:pt idx="3">
                  <c:v>0.24697104086465901</c:v>
                </c:pt>
                <c:pt idx="4">
                  <c:v>0.54669245282443701</c:v>
                </c:pt>
                <c:pt idx="5">
                  <c:v>0.65257419616377499</c:v>
                </c:pt>
                <c:pt idx="6">
                  <c:v>0.74177418519094196</c:v>
                </c:pt>
                <c:pt idx="7">
                  <c:v>0.74177418519094196</c:v>
                </c:pt>
                <c:pt idx="8">
                  <c:v>0.90180990785868198</c:v>
                </c:pt>
                <c:pt idx="9">
                  <c:v>0.912026834672933</c:v>
                </c:pt>
                <c:pt idx="10">
                  <c:v>1</c:v>
                </c:pt>
              </c:numCache>
            </c:numRef>
          </c:xVal>
          <c:yVal>
            <c:numRef>
              <c:f>Test4!$B$3:$B$13</c:f>
              <c:numCache>
                <c:formatCode>General</c:formatCode>
                <c:ptCount val="11"/>
                <c:pt idx="0">
                  <c:v>4.3333000000000004</c:v>
                </c:pt>
                <c:pt idx="1">
                  <c:v>4.3333000000000004</c:v>
                </c:pt>
                <c:pt idx="2">
                  <c:v>4.30560940371796</c:v>
                </c:pt>
                <c:pt idx="3">
                  <c:v>4.3333000000000004</c:v>
                </c:pt>
                <c:pt idx="4">
                  <c:v>4.3333000000000004</c:v>
                </c:pt>
                <c:pt idx="5">
                  <c:v>2.2859360283830599</c:v>
                </c:pt>
                <c:pt idx="6">
                  <c:v>2.2859360283830599</c:v>
                </c:pt>
                <c:pt idx="7">
                  <c:v>0.37258940572964599</c:v>
                </c:pt>
                <c:pt idx="8">
                  <c:v>0.37258940572964599</c:v>
                </c:pt>
                <c:pt idx="9">
                  <c:v>0.13789999999999999</c:v>
                </c:pt>
                <c:pt idx="10">
                  <c:v>0.13789999999999999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8C-4A7A-8615-FDF3B543B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388079"/>
        <c:axId val="1618825199"/>
      </c:scatterChart>
      <c:valAx>
        <c:axId val="173538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25199"/>
        <c:crosses val="autoZero"/>
        <c:crossBetween val="midCat"/>
      </c:valAx>
      <c:valAx>
        <c:axId val="161882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38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Test4!$D$3:$D$12</c:f>
              <c:numCache>
                <c:formatCode>General</c:formatCode>
                <c:ptCount val="10"/>
                <c:pt idx="0">
                  <c:v>0</c:v>
                </c:pt>
                <c:pt idx="1">
                  <c:v>0.20781359293480201</c:v>
                </c:pt>
                <c:pt idx="2">
                  <c:v>0.22291235334713499</c:v>
                </c:pt>
                <c:pt idx="3">
                  <c:v>0.23985873343023201</c:v>
                </c:pt>
                <c:pt idx="4">
                  <c:v>0.54712131196575198</c:v>
                </c:pt>
                <c:pt idx="5">
                  <c:v>0.654122793488776</c:v>
                </c:pt>
                <c:pt idx="6">
                  <c:v>0.90859890918777897</c:v>
                </c:pt>
                <c:pt idx="7">
                  <c:v>0.90781842229481802</c:v>
                </c:pt>
                <c:pt idx="8">
                  <c:v>1</c:v>
                </c:pt>
              </c:numCache>
            </c:numRef>
          </c:xVal>
          <c:yVal>
            <c:numRef>
              <c:f>Test4!$E$3:$E$12</c:f>
              <c:numCache>
                <c:formatCode>General</c:formatCode>
                <c:ptCount val="10"/>
                <c:pt idx="0">
                  <c:v>1037.82</c:v>
                </c:pt>
                <c:pt idx="1">
                  <c:v>1037.82</c:v>
                </c:pt>
                <c:pt idx="2">
                  <c:v>1059.9093015031699</c:v>
                </c:pt>
                <c:pt idx="3">
                  <c:v>1037.82</c:v>
                </c:pt>
                <c:pt idx="4">
                  <c:v>1037.82</c:v>
                </c:pt>
                <c:pt idx="5">
                  <c:v>1467.55</c:v>
                </c:pt>
                <c:pt idx="6">
                  <c:v>1467.55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66-4F0D-9564-3F0A0CA40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256063"/>
        <c:axId val="1618810319"/>
      </c:scatterChart>
      <c:valAx>
        <c:axId val="181925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10319"/>
        <c:crosses val="autoZero"/>
        <c:crossBetween val="midCat"/>
      </c:valAx>
      <c:valAx>
        <c:axId val="161881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25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Entropy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Test4!$G$3:$G$8</c:f>
              <c:numCache>
                <c:formatCode>General</c:formatCode>
                <c:ptCount val="6"/>
                <c:pt idx="0">
                  <c:v>0</c:v>
                </c:pt>
                <c:pt idx="1">
                  <c:v>0.74294671371089205</c:v>
                </c:pt>
                <c:pt idx="2">
                  <c:v>0.74294671371089205</c:v>
                </c:pt>
                <c:pt idx="3">
                  <c:v>0.90673058254052197</c:v>
                </c:pt>
                <c:pt idx="4">
                  <c:v>0.90673058254052197</c:v>
                </c:pt>
                <c:pt idx="5">
                  <c:v>1</c:v>
                </c:pt>
              </c:numCache>
            </c:numRef>
          </c:xVal>
          <c:yVal>
            <c:numRef>
              <c:f>Test4!$H$3:$H$8</c:f>
              <c:numCache>
                <c:formatCode>General</c:formatCode>
                <c:ptCount val="6"/>
                <c:pt idx="0">
                  <c:v>192550.65460000001</c:v>
                </c:pt>
                <c:pt idx="1">
                  <c:v>192550.65460000001</c:v>
                </c:pt>
                <c:pt idx="2">
                  <c:v>3527767.9211049499</c:v>
                </c:pt>
                <c:pt idx="3">
                  <c:v>3527767.9211049499</c:v>
                </c:pt>
                <c:pt idx="4">
                  <c:v>2734813.2508</c:v>
                </c:pt>
                <c:pt idx="5">
                  <c:v>2734813.2508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A1-4B3C-BA1C-9BA605DF0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190671"/>
        <c:axId val="1618844879"/>
      </c:scatterChart>
      <c:valAx>
        <c:axId val="183219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44879"/>
        <c:crosses val="autoZero"/>
        <c:crossBetween val="midCat"/>
      </c:valAx>
      <c:valAx>
        <c:axId val="161884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190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Test4!$J$3:$J$10</c:f>
              <c:numCache>
                <c:formatCode>General</c:formatCode>
                <c:ptCount val="8"/>
                <c:pt idx="0">
                  <c:v>0</c:v>
                </c:pt>
                <c:pt idx="1">
                  <c:v>0.19981498612395901</c:v>
                </c:pt>
                <c:pt idx="2">
                  <c:v>0.22386679000925</c:v>
                </c:pt>
                <c:pt idx="3">
                  <c:v>0.25161887141535599</c:v>
                </c:pt>
                <c:pt idx="4">
                  <c:v>0.55134135060129497</c:v>
                </c:pt>
                <c:pt idx="5">
                  <c:v>0.63552266419981496</c:v>
                </c:pt>
                <c:pt idx="6">
                  <c:v>0.665124884366327</c:v>
                </c:pt>
                <c:pt idx="7">
                  <c:v>0.905642923219241</c:v>
                </c:pt>
              </c:numCache>
            </c:numRef>
          </c:xVal>
          <c:yVal>
            <c:numRef>
              <c:f>Test4!$K$3:$K$10</c:f>
              <c:numCache>
                <c:formatCode>0.00E+00</c:formatCode>
                <c:ptCount val="8"/>
                <c:pt idx="0">
                  <c:v>1500000</c:v>
                </c:pt>
                <c:pt idx="1">
                  <c:v>1500000</c:v>
                </c:pt>
                <c:pt idx="2" formatCode="General">
                  <c:v>1479935.6720984799</c:v>
                </c:pt>
                <c:pt idx="3">
                  <c:v>1500000</c:v>
                </c:pt>
                <c:pt idx="4">
                  <c:v>1500000</c:v>
                </c:pt>
                <c:pt idx="5" formatCode="General">
                  <c:v>656333.59425033699</c:v>
                </c:pt>
                <c:pt idx="6" formatCode="General">
                  <c:v>604714.15356151701</c:v>
                </c:pt>
                <c:pt idx="7" formatCode="General">
                  <c:v>607767.736426385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64-4EF2-B07E-A213DF15A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878207"/>
        <c:axId val="1618789199"/>
      </c:scatterChart>
      <c:valAx>
        <c:axId val="181687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789199"/>
        <c:crosses val="autoZero"/>
        <c:crossBetween val="midCat"/>
      </c:valAx>
      <c:valAx>
        <c:axId val="161878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878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Test5!$A$3:$A$13</c:f>
              <c:numCache>
                <c:formatCode>General</c:formatCode>
                <c:ptCount val="11"/>
                <c:pt idx="0">
                  <c:v>0</c:v>
                </c:pt>
                <c:pt idx="1">
                  <c:v>0.56267070458840496</c:v>
                </c:pt>
                <c:pt idx="2">
                  <c:v>0.56267070458840496</c:v>
                </c:pt>
                <c:pt idx="3">
                  <c:v>0.78900578976540403</c:v>
                </c:pt>
                <c:pt idx="4">
                  <c:v>0.78900578976540403</c:v>
                </c:pt>
                <c:pt idx="5">
                  <c:v>0.84026224231537205</c:v>
                </c:pt>
                <c:pt idx="6">
                  <c:v>0.84026224231537205</c:v>
                </c:pt>
                <c:pt idx="7">
                  <c:v>1</c:v>
                </c:pt>
              </c:numCache>
            </c:numRef>
          </c:xVal>
          <c:yVal>
            <c:numRef>
              <c:f>Test5!$B$3:$B$13</c:f>
              <c:numCache>
                <c:formatCode>General</c:formatCode>
                <c:ptCount val="11"/>
                <c:pt idx="0">
                  <c:v>4.3333000000000004</c:v>
                </c:pt>
                <c:pt idx="1">
                  <c:v>4.3333000000000004</c:v>
                </c:pt>
                <c:pt idx="2">
                  <c:v>6.0641090176284296</c:v>
                </c:pt>
                <c:pt idx="3">
                  <c:v>6.0641090176284296</c:v>
                </c:pt>
                <c:pt idx="4">
                  <c:v>20.715345722428999</c:v>
                </c:pt>
                <c:pt idx="5">
                  <c:v>20.711840995342399</c:v>
                </c:pt>
                <c:pt idx="6">
                  <c:v>3.1537999999999999</c:v>
                </c:pt>
                <c:pt idx="7">
                  <c:v>3.1537999999999999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EC-47E8-B916-6666F6A76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388079"/>
        <c:axId val="1618825199"/>
      </c:scatterChart>
      <c:valAx>
        <c:axId val="173538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25199"/>
        <c:crosses val="autoZero"/>
        <c:crossBetween val="midCat"/>
      </c:valAx>
      <c:valAx>
        <c:axId val="161882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38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Test5!$D$3:$D$12</c:f>
              <c:numCache>
                <c:formatCode>General</c:formatCode>
                <c:ptCount val="10"/>
                <c:pt idx="0">
                  <c:v>0</c:v>
                </c:pt>
                <c:pt idx="1">
                  <c:v>0.27633378693997102</c:v>
                </c:pt>
                <c:pt idx="2">
                  <c:v>0.29788505176880398</c:v>
                </c:pt>
                <c:pt idx="3">
                  <c:v>0.320346441342372</c:v>
                </c:pt>
                <c:pt idx="4">
                  <c:v>0.56472978378859895</c:v>
                </c:pt>
                <c:pt idx="5">
                  <c:v>0.56472978378859895</c:v>
                </c:pt>
                <c:pt idx="6">
                  <c:v>0.840724675909993</c:v>
                </c:pt>
                <c:pt idx="7">
                  <c:v>0.840724675909993</c:v>
                </c:pt>
                <c:pt idx="8">
                  <c:v>1</c:v>
                </c:pt>
              </c:numCache>
            </c:numRef>
          </c:xVal>
          <c:yVal>
            <c:numRef>
              <c:f>Test5!$E$3:$E$12</c:f>
              <c:numCache>
                <c:formatCode>General</c:formatCode>
                <c:ptCount val="10"/>
                <c:pt idx="0">
                  <c:v>1037.5999999999999</c:v>
                </c:pt>
                <c:pt idx="1">
                  <c:v>1037.5999999999999</c:v>
                </c:pt>
                <c:pt idx="2">
                  <c:v>1034.8956850304501</c:v>
                </c:pt>
                <c:pt idx="3">
                  <c:v>1037.5999999999999</c:v>
                </c:pt>
                <c:pt idx="4">
                  <c:v>1037.5999999999999</c:v>
                </c:pt>
                <c:pt idx="5">
                  <c:v>787.61426782123795</c:v>
                </c:pt>
                <c:pt idx="6">
                  <c:v>787.61426782123795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0B-44FC-8450-4690A6308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256063"/>
        <c:axId val="1618810319"/>
      </c:scatterChart>
      <c:valAx>
        <c:axId val="181925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10319"/>
        <c:crosses val="autoZero"/>
        <c:crossBetween val="midCat"/>
      </c:valAx>
      <c:valAx>
        <c:axId val="161881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25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Entropy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Test5!$G$3:$G$11</c:f>
              <c:numCache>
                <c:formatCode>General</c:formatCode>
                <c:ptCount val="9"/>
                <c:pt idx="0">
                  <c:v>0</c:v>
                </c:pt>
                <c:pt idx="1">
                  <c:v>0.69235966915409397</c:v>
                </c:pt>
                <c:pt idx="2">
                  <c:v>0.71323235661124595</c:v>
                </c:pt>
                <c:pt idx="3">
                  <c:v>0.74443288138769803</c:v>
                </c:pt>
                <c:pt idx="4">
                  <c:v>0.787998204712137</c:v>
                </c:pt>
                <c:pt idx="5">
                  <c:v>0.787998204712137</c:v>
                </c:pt>
                <c:pt idx="6">
                  <c:v>0.83883838956760104</c:v>
                </c:pt>
                <c:pt idx="7">
                  <c:v>0.83883838956760104</c:v>
                </c:pt>
                <c:pt idx="8">
                  <c:v>1</c:v>
                </c:pt>
              </c:numCache>
            </c:numRef>
          </c:xVal>
          <c:yVal>
            <c:numRef>
              <c:f>Test5!$H$3:$H$11</c:f>
              <c:numCache>
                <c:formatCode>General</c:formatCode>
                <c:ptCount val="9"/>
                <c:pt idx="0">
                  <c:v>192550.65460000001</c:v>
                </c:pt>
                <c:pt idx="1">
                  <c:v>192550.65460000001</c:v>
                </c:pt>
                <c:pt idx="2">
                  <c:v>196652.774558206</c:v>
                </c:pt>
                <c:pt idx="3">
                  <c:v>192550.65460000001</c:v>
                </c:pt>
                <c:pt idx="4">
                  <c:v>192550.65460000001</c:v>
                </c:pt>
                <c:pt idx="5">
                  <c:v>55051.022672907297</c:v>
                </c:pt>
                <c:pt idx="6">
                  <c:v>55051.022672907297</c:v>
                </c:pt>
                <c:pt idx="7">
                  <c:v>23820.7893</c:v>
                </c:pt>
                <c:pt idx="8">
                  <c:v>23820.7893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58-42DC-94DA-5019FC9CC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190671"/>
        <c:axId val="1618844879"/>
      </c:scatterChart>
      <c:valAx>
        <c:axId val="183219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44879"/>
        <c:crosses val="autoZero"/>
        <c:crossBetween val="midCat"/>
      </c:valAx>
      <c:valAx>
        <c:axId val="161884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190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Test5!$J$3:$J$10</c:f>
              <c:numCache>
                <c:formatCode>General</c:formatCode>
                <c:ptCount val="8"/>
                <c:pt idx="0">
                  <c:v>0</c:v>
                </c:pt>
                <c:pt idx="1">
                  <c:v>0.27493010251630901</c:v>
                </c:pt>
                <c:pt idx="2">
                  <c:v>0.29170549860204997</c:v>
                </c:pt>
                <c:pt idx="3">
                  <c:v>0.308480894687791</c:v>
                </c:pt>
                <c:pt idx="4">
                  <c:v>0.56383970177073595</c:v>
                </c:pt>
                <c:pt idx="5">
                  <c:v>0.56383970177073595</c:v>
                </c:pt>
                <c:pt idx="6">
                  <c:v>0.84063373718546097</c:v>
                </c:pt>
                <c:pt idx="7">
                  <c:v>0.84063373718546097</c:v>
                </c:pt>
              </c:numCache>
            </c:numRef>
          </c:xVal>
          <c:yVal>
            <c:numRef>
              <c:f>Test5!$K$3:$K$10</c:f>
              <c:numCache>
                <c:formatCode>0.00E+00</c:formatCode>
                <c:ptCount val="8"/>
                <c:pt idx="0">
                  <c:v>1500000</c:v>
                </c:pt>
                <c:pt idx="1">
                  <c:v>1500000</c:v>
                </c:pt>
                <c:pt idx="2" formatCode="General">
                  <c:v>1474714.8808043799</c:v>
                </c:pt>
                <c:pt idx="3">
                  <c:v>1500000</c:v>
                </c:pt>
                <c:pt idx="4">
                  <c:v>1500000</c:v>
                </c:pt>
                <c:pt idx="5" formatCode="General">
                  <c:v>2427669.6415361101</c:v>
                </c:pt>
                <c:pt idx="6" formatCode="General">
                  <c:v>2427669.6415361101</c:v>
                </c:pt>
                <c:pt idx="7" formatCode="General">
                  <c:v>103595.468599136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46-4621-B938-2F1EF7B48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878207"/>
        <c:axId val="1618789199"/>
      </c:scatterChart>
      <c:valAx>
        <c:axId val="181687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789199"/>
        <c:crosses val="autoZero"/>
        <c:crossBetween val="midCat"/>
      </c:valAx>
      <c:valAx>
        <c:axId val="161878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878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explosion1!$A$3:$A$13</c:f>
              <c:numCache>
                <c:formatCode>General</c:formatCode>
                <c:ptCount val="11"/>
                <c:pt idx="0">
                  <c:v>0</c:v>
                </c:pt>
                <c:pt idx="1">
                  <c:v>0.10680656137414</c:v>
                </c:pt>
                <c:pt idx="2">
                  <c:v>0.21275564976891401</c:v>
                </c:pt>
                <c:pt idx="3">
                  <c:v>0.33190572801048002</c:v>
                </c:pt>
                <c:pt idx="4">
                  <c:v>0.42018905345900498</c:v>
                </c:pt>
                <c:pt idx="5">
                  <c:v>0.52159603697368895</c:v>
                </c:pt>
                <c:pt idx="6">
                  <c:v>0.62036236762618702</c:v>
                </c:pt>
                <c:pt idx="7">
                  <c:v>0.62036236762618702</c:v>
                </c:pt>
                <c:pt idx="8">
                  <c:v>0.81544770552057899</c:v>
                </c:pt>
                <c:pt idx="9">
                  <c:v>0.81544770552057899</c:v>
                </c:pt>
                <c:pt idx="10">
                  <c:v>1</c:v>
                </c:pt>
              </c:numCache>
            </c:numRef>
          </c:xVal>
          <c:yVal>
            <c:numRef>
              <c:f>explosion1!$B$3:$B$13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0.64431474944502998</c:v>
                </c:pt>
                <c:pt idx="3">
                  <c:v>0.400906146511881</c:v>
                </c:pt>
                <c:pt idx="4">
                  <c:v>0.27669538556716</c:v>
                </c:pt>
                <c:pt idx="5">
                  <c:v>0.32286473306888802</c:v>
                </c:pt>
                <c:pt idx="6">
                  <c:v>0.34688307434768301</c:v>
                </c:pt>
                <c:pt idx="7">
                  <c:v>0.214008879507987</c:v>
                </c:pt>
                <c:pt idx="8">
                  <c:v>0.22796499144801399</c:v>
                </c:pt>
                <c:pt idx="9">
                  <c:v>0.122341151424724</c:v>
                </c:pt>
                <c:pt idx="10">
                  <c:v>0.119252429127697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08-4886-BE04-9DD51FAA5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388079"/>
        <c:axId val="1618825199"/>
      </c:scatterChart>
      <c:valAx>
        <c:axId val="173538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25199"/>
        <c:crosses val="autoZero"/>
        <c:crossBetween val="midCat"/>
      </c:valAx>
      <c:valAx>
        <c:axId val="161882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38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explosion1!$D$3:$D$12</c:f>
              <c:numCache>
                <c:formatCode>General</c:formatCode>
                <c:ptCount val="10"/>
                <c:pt idx="0">
                  <c:v>0</c:v>
                </c:pt>
                <c:pt idx="1">
                  <c:v>0.11183355006501899</c:v>
                </c:pt>
                <c:pt idx="2">
                  <c:v>0.248374512353706</c:v>
                </c:pt>
                <c:pt idx="3">
                  <c:v>0.42262678803641102</c:v>
                </c:pt>
                <c:pt idx="4">
                  <c:v>0.51495448634590302</c:v>
                </c:pt>
                <c:pt idx="5">
                  <c:v>0.64239271781534402</c:v>
                </c:pt>
                <c:pt idx="6">
                  <c:v>0.73732119635890703</c:v>
                </c:pt>
                <c:pt idx="7">
                  <c:v>0.815344603381014</c:v>
                </c:pt>
                <c:pt idx="8">
                  <c:v>0.815344603381014</c:v>
                </c:pt>
                <c:pt idx="9">
                  <c:v>1</c:v>
                </c:pt>
              </c:numCache>
            </c:numRef>
          </c:xVal>
          <c:yVal>
            <c:numRef>
              <c:f>explosion1!$E$3:$E$12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0.56303689136297497</c:v>
                </c:pt>
                <c:pt idx="3">
                  <c:v>1.1256433087561699</c:v>
                </c:pt>
                <c:pt idx="4">
                  <c:v>0.93505608332746104</c:v>
                </c:pt>
                <c:pt idx="5">
                  <c:v>0.81364192508984201</c:v>
                </c:pt>
                <c:pt idx="6">
                  <c:v>0.76297155156399099</c:v>
                </c:pt>
                <c:pt idx="7">
                  <c:v>0.72796479337889997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68-4149-B6DB-492D97636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256063"/>
        <c:axId val="1618810319"/>
      </c:scatterChart>
      <c:valAx>
        <c:axId val="181925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10319"/>
        <c:crosses val="autoZero"/>
        <c:crossBetween val="midCat"/>
      </c:valAx>
      <c:valAx>
        <c:axId val="161881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25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Internal Energy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explosion1!$G$3:$G$12</c:f>
              <c:numCache>
                <c:formatCode>General</c:formatCode>
                <c:ptCount val="10"/>
                <c:pt idx="0">
                  <c:v>0</c:v>
                </c:pt>
                <c:pt idx="1">
                  <c:v>0.111692407919407</c:v>
                </c:pt>
                <c:pt idx="2">
                  <c:v>0.26450726157561799</c:v>
                </c:pt>
                <c:pt idx="3">
                  <c:v>0.42290733149013199</c:v>
                </c:pt>
                <c:pt idx="4">
                  <c:v>0.50694775479073295</c:v>
                </c:pt>
                <c:pt idx="5">
                  <c:v>0.623575889026599</c:v>
                </c:pt>
                <c:pt idx="6">
                  <c:v>0.623575889026599</c:v>
                </c:pt>
                <c:pt idx="7">
                  <c:v>0.82019456891346398</c:v>
                </c:pt>
                <c:pt idx="8">
                  <c:v>0.82019456891346398</c:v>
                </c:pt>
                <c:pt idx="9">
                  <c:v>1</c:v>
                </c:pt>
              </c:numCache>
            </c:numRef>
          </c:xVal>
          <c:yVal>
            <c:numRef>
              <c:f>explosion1!$H$3:$H$12</c:f>
              <c:numCache>
                <c:formatCode>General</c:formatCode>
                <c:ptCount val="10"/>
                <c:pt idx="0">
                  <c:v>2.5</c:v>
                </c:pt>
                <c:pt idx="1">
                  <c:v>2.5</c:v>
                </c:pt>
                <c:pt idx="2">
                  <c:v>1.9321265134903201</c:v>
                </c:pt>
                <c:pt idx="3">
                  <c:v>1.4900705501000999</c:v>
                </c:pt>
                <c:pt idx="4">
                  <c:v>1.5831680808466</c:v>
                </c:pt>
                <c:pt idx="5">
                  <c:v>1.6299206311373799</c:v>
                </c:pt>
                <c:pt idx="6">
                  <c:v>2.6323565163504599</c:v>
                </c:pt>
                <c:pt idx="7">
                  <c:v>2.6323565163504599</c:v>
                </c:pt>
                <c:pt idx="8">
                  <c:v>2</c:v>
                </c:pt>
                <c:pt idx="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F7-436F-A250-EE2F01604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190671"/>
        <c:axId val="1618844879"/>
      </c:scatterChart>
      <c:valAx>
        <c:axId val="183219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44879"/>
        <c:crosses val="autoZero"/>
        <c:crossBetween val="midCat"/>
      </c:valAx>
      <c:valAx>
        <c:axId val="161884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190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explosion1!$J$3:$J$13</c:f>
              <c:numCache>
                <c:formatCode>General</c:formatCode>
                <c:ptCount val="11"/>
                <c:pt idx="0">
                  <c:v>0</c:v>
                </c:pt>
                <c:pt idx="1">
                  <c:v>0.115803994360425</c:v>
                </c:pt>
                <c:pt idx="2">
                  <c:v>0.175229995232733</c:v>
                </c:pt>
                <c:pt idx="3">
                  <c:v>0.26722555254642999</c:v>
                </c:pt>
                <c:pt idx="4">
                  <c:v>0.34572822525839603</c:v>
                </c:pt>
                <c:pt idx="5">
                  <c:v>0.42442868879895301</c:v>
                </c:pt>
                <c:pt idx="6">
                  <c:v>0.526298572863098</c:v>
                </c:pt>
                <c:pt idx="7">
                  <c:v>0.66199829595593795</c:v>
                </c:pt>
                <c:pt idx="8">
                  <c:v>0.81738834961303897</c:v>
                </c:pt>
                <c:pt idx="9">
                  <c:v>0.81738834961303897</c:v>
                </c:pt>
                <c:pt idx="10">
                  <c:v>1</c:v>
                </c:pt>
              </c:numCache>
            </c:numRef>
          </c:xVal>
          <c:yVal>
            <c:numRef>
              <c:f>explosion1!$K$3:$K$13</c:f>
              <c:numCache>
                <c:formatCode>0.00E+00</c:formatCode>
                <c:ptCount val="11"/>
                <c:pt idx="0">
                  <c:v>1</c:v>
                </c:pt>
                <c:pt idx="1">
                  <c:v>1</c:v>
                </c:pt>
                <c:pt idx="2" formatCode="General">
                  <c:v>0.68761220825852798</c:v>
                </c:pt>
                <c:pt idx="3">
                  <c:v>0.39856373429084302</c:v>
                </c:pt>
                <c:pt idx="4">
                  <c:v>0.25852782764811499</c:v>
                </c:pt>
                <c:pt idx="5" formatCode="General">
                  <c:v>0.16517055655296201</c:v>
                </c:pt>
                <c:pt idx="6" formatCode="General">
                  <c:v>0.206463195691203</c:v>
                </c:pt>
                <c:pt idx="7" formatCode="General">
                  <c:v>0.23159784560143601</c:v>
                </c:pt>
                <c:pt idx="8" formatCode="General">
                  <c:v>0.23698384201077199</c:v>
                </c:pt>
                <c:pt idx="9" formatCode="General">
                  <c:v>0.102333931777379</c:v>
                </c:pt>
                <c:pt idx="10" formatCode="General">
                  <c:v>0.102333931777379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2B-4EE0-8378-FA1A58DEC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878207"/>
        <c:axId val="1618789199"/>
      </c:scatterChart>
      <c:valAx>
        <c:axId val="181687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789199"/>
        <c:crosses val="autoZero"/>
        <c:crossBetween val="midCat"/>
      </c:valAx>
      <c:valAx>
        <c:axId val="161878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878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explosion2!$A$3:$A$14</c:f>
              <c:numCache>
                <c:formatCode>General</c:formatCode>
                <c:ptCount val="12"/>
                <c:pt idx="0">
                  <c:v>0</c:v>
                </c:pt>
                <c:pt idx="1">
                  <c:v>0.107496463932107</c:v>
                </c:pt>
                <c:pt idx="2">
                  <c:v>0.198019801980197</c:v>
                </c:pt>
                <c:pt idx="3">
                  <c:v>0.32390381895332299</c:v>
                </c:pt>
                <c:pt idx="4">
                  <c:v>0.45685997171145598</c:v>
                </c:pt>
                <c:pt idx="5">
                  <c:v>0.524752475247524</c:v>
                </c:pt>
                <c:pt idx="6">
                  <c:v>0.61103253182461004</c:v>
                </c:pt>
                <c:pt idx="7">
                  <c:v>0.61103253182461004</c:v>
                </c:pt>
                <c:pt idx="8">
                  <c:v>0.69731258840169696</c:v>
                </c:pt>
                <c:pt idx="9">
                  <c:v>0.79066478076378999</c:v>
                </c:pt>
                <c:pt idx="10">
                  <c:v>0.79632248939179595</c:v>
                </c:pt>
                <c:pt idx="11">
                  <c:v>1</c:v>
                </c:pt>
              </c:numCache>
            </c:numRef>
          </c:xVal>
          <c:yVal>
            <c:numRef>
              <c:f>explosion2!$B$3:$B$14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0.61552346570396999</c:v>
                </c:pt>
                <c:pt idx="3">
                  <c:v>0.32129963898916902</c:v>
                </c:pt>
                <c:pt idx="4">
                  <c:v>0.167870036101082</c:v>
                </c:pt>
                <c:pt idx="5">
                  <c:v>0.25270758122743597</c:v>
                </c:pt>
                <c:pt idx="6">
                  <c:v>0.287003610108303</c:v>
                </c:pt>
                <c:pt idx="7">
                  <c:v>0.18231046931407899</c:v>
                </c:pt>
                <c:pt idx="8">
                  <c:v>0.191335740072202</c:v>
                </c:pt>
                <c:pt idx="9">
                  <c:v>0.202166064981949</c:v>
                </c:pt>
                <c:pt idx="10">
                  <c:v>0.124548736462093</c:v>
                </c:pt>
                <c:pt idx="11">
                  <c:v>0.124548736462093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C0-4B8D-8C56-0BD6E73CA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388079"/>
        <c:axId val="1618825199"/>
      </c:scatterChart>
      <c:valAx>
        <c:axId val="173538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25199"/>
        <c:crosses val="autoZero"/>
        <c:crossBetween val="midCat"/>
      </c:valAx>
      <c:valAx>
        <c:axId val="161882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38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explosion2!$D$3:$D$15</c:f>
              <c:numCache>
                <c:formatCode>General</c:formatCode>
                <c:ptCount val="13"/>
                <c:pt idx="0">
                  <c:v>0</c:v>
                </c:pt>
                <c:pt idx="1">
                  <c:v>0.110903146730333</c:v>
                </c:pt>
                <c:pt idx="2">
                  <c:v>0.18986001704652899</c:v>
                </c:pt>
                <c:pt idx="3">
                  <c:v>0.286993301745672</c:v>
                </c:pt>
                <c:pt idx="4">
                  <c:v>0.38827768648632699</c:v>
                </c:pt>
                <c:pt idx="5">
                  <c:v>0.45862041014833399</c:v>
                </c:pt>
                <c:pt idx="6">
                  <c:v>0.46688576614814697</c:v>
                </c:pt>
                <c:pt idx="7">
                  <c:v>0.50733565696684702</c:v>
                </c:pt>
                <c:pt idx="8">
                  <c:v>0.58990079116528005</c:v>
                </c:pt>
                <c:pt idx="9">
                  <c:v>0.68797237185013704</c:v>
                </c:pt>
                <c:pt idx="10">
                  <c:v>0.78889322830313302</c:v>
                </c:pt>
                <c:pt idx="11">
                  <c:v>0.79112597974557897</c:v>
                </c:pt>
                <c:pt idx="12">
                  <c:v>1</c:v>
                </c:pt>
              </c:numCache>
            </c:numRef>
          </c:xVal>
          <c:yVal>
            <c:numRef>
              <c:f>explosion2!$E$3:$E$15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0.42019497888834001</c:v>
                </c:pt>
                <c:pt idx="3">
                  <c:v>0.77863976557337899</c:v>
                </c:pt>
                <c:pt idx="4">
                  <c:v>1.0807126136947001</c:v>
                </c:pt>
                <c:pt idx="5">
                  <c:v>1.2968193731102</c:v>
                </c:pt>
                <c:pt idx="6">
                  <c:v>1.14729773212386</c:v>
                </c:pt>
                <c:pt idx="7">
                  <c:v>0.92437874735029602</c:v>
                </c:pt>
                <c:pt idx="8">
                  <c:v>0.74089570422552398</c:v>
                </c:pt>
                <c:pt idx="9">
                  <c:v>0.63594754385059904</c:v>
                </c:pt>
                <c:pt idx="10">
                  <c:v>0.57514645523075403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7-4E0D-ABD1-2A04CDFEC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256063"/>
        <c:axId val="1618810319"/>
      </c:scatterChart>
      <c:valAx>
        <c:axId val="181925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10319"/>
        <c:crosses val="autoZero"/>
        <c:crossBetween val="midCat"/>
      </c:valAx>
      <c:valAx>
        <c:axId val="161881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25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Internal Energy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explosion2!$G$3:$G$22</c:f>
              <c:numCache>
                <c:formatCode>General</c:formatCode>
                <c:ptCount val="20"/>
                <c:pt idx="0">
                  <c:v>0</c:v>
                </c:pt>
                <c:pt idx="1">
                  <c:v>0.111094223565278</c:v>
                </c:pt>
                <c:pt idx="2">
                  <c:v>0.17889871346702299</c:v>
                </c:pt>
                <c:pt idx="3">
                  <c:v>0.264807645886044</c:v>
                </c:pt>
                <c:pt idx="4">
                  <c:v>0.36196368382937999</c:v>
                </c:pt>
                <c:pt idx="5">
                  <c:v>0.42306282465065098</c:v>
                </c:pt>
                <c:pt idx="6">
                  <c:v>0.457814413818383</c:v>
                </c:pt>
                <c:pt idx="7">
                  <c:v>0.469133043066221</c:v>
                </c:pt>
                <c:pt idx="8">
                  <c:v>0.50973169663212603</c:v>
                </c:pt>
                <c:pt idx="9">
                  <c:v>0.56144334874073498</c:v>
                </c:pt>
                <c:pt idx="10">
                  <c:v>0.608917220230485</c:v>
                </c:pt>
                <c:pt idx="11">
                  <c:v>0.61311923898758103</c:v>
                </c:pt>
                <c:pt idx="12">
                  <c:v>0.66331995243672304</c:v>
                </c:pt>
                <c:pt idx="13">
                  <c:v>0.79166927430241996</c:v>
                </c:pt>
                <c:pt idx="14">
                  <c:v>0.79234874967590796</c:v>
                </c:pt>
                <c:pt idx="15">
                  <c:v>1</c:v>
                </c:pt>
              </c:numCache>
            </c:numRef>
          </c:xVal>
          <c:yVal>
            <c:numRef>
              <c:f>explosion2!$H$3:$H$22</c:f>
              <c:numCache>
                <c:formatCode>General</c:formatCode>
                <c:ptCount val="20"/>
                <c:pt idx="0">
                  <c:v>2.5</c:v>
                </c:pt>
                <c:pt idx="1">
                  <c:v>2.5</c:v>
                </c:pt>
                <c:pt idx="2">
                  <c:v>2.1491090826188399</c:v>
                </c:pt>
                <c:pt idx="3">
                  <c:v>1.7861431726135599</c:v>
                </c:pt>
                <c:pt idx="4">
                  <c:v>1.48093445744785</c:v>
                </c:pt>
                <c:pt idx="5">
                  <c:v>1.3082100294141299</c:v>
                </c:pt>
                <c:pt idx="6">
                  <c:v>1.23341051935163</c:v>
                </c:pt>
                <c:pt idx="7">
                  <c:v>1.3373219729819099</c:v>
                </c:pt>
                <c:pt idx="8">
                  <c:v>1.4356331190601701</c:v>
                </c:pt>
                <c:pt idx="9">
                  <c:v>1.5051622247454199</c:v>
                </c:pt>
                <c:pt idx="10">
                  <c:v>1.54005149708093</c:v>
                </c:pt>
                <c:pt idx="11">
                  <c:v>2.4516142010353001</c:v>
                </c:pt>
                <c:pt idx="12">
                  <c:v>2.4461345897667401</c:v>
                </c:pt>
                <c:pt idx="13">
                  <c:v>2.4699519897005802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05-4329-A00C-0D9BC9710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190671"/>
        <c:axId val="1618844879"/>
      </c:scatterChart>
      <c:valAx>
        <c:axId val="183219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844879"/>
        <c:crosses val="autoZero"/>
        <c:crossBetween val="midCat"/>
      </c:valAx>
      <c:valAx>
        <c:axId val="161884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190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explosion2!$J$3:$J$15</c:f>
              <c:numCache>
                <c:formatCode>General</c:formatCode>
                <c:ptCount val="13"/>
                <c:pt idx="0">
                  <c:v>0</c:v>
                </c:pt>
                <c:pt idx="1">
                  <c:v>0.11391648896753</c:v>
                </c:pt>
                <c:pt idx="2">
                  <c:v>0.146643376737292</c:v>
                </c:pt>
                <c:pt idx="3">
                  <c:v>0.19630839496090599</c:v>
                </c:pt>
                <c:pt idx="4">
                  <c:v>0.26989096078520303</c:v>
                </c:pt>
                <c:pt idx="5">
                  <c:v>0.34813151248430901</c:v>
                </c:pt>
                <c:pt idx="6">
                  <c:v>0.45605160080456097</c:v>
                </c:pt>
                <c:pt idx="7">
                  <c:v>0.50550489239750096</c:v>
                </c:pt>
                <c:pt idx="8">
                  <c:v>0.59568531373349598</c:v>
                </c:pt>
                <c:pt idx="9">
                  <c:v>0.68152533914069202</c:v>
                </c:pt>
                <c:pt idx="10">
                  <c:v>0.78847753429215195</c:v>
                </c:pt>
                <c:pt idx="11">
                  <c:v>0.79228105197888699</c:v>
                </c:pt>
                <c:pt idx="12">
                  <c:v>1</c:v>
                </c:pt>
              </c:numCache>
            </c:numRef>
          </c:xVal>
          <c:yVal>
            <c:numRef>
              <c:f>explosion2!$K$3:$K$15</c:f>
              <c:numCache>
                <c:formatCode>0.00E+00</c:formatCode>
                <c:ptCount val="13"/>
                <c:pt idx="0">
                  <c:v>1</c:v>
                </c:pt>
                <c:pt idx="1">
                  <c:v>1</c:v>
                </c:pt>
                <c:pt idx="2" formatCode="General">
                  <c:v>0.75627240143369101</c:v>
                </c:pt>
                <c:pt idx="3">
                  <c:v>0.52688172043010695</c:v>
                </c:pt>
                <c:pt idx="4">
                  <c:v>0.29928315412186302</c:v>
                </c:pt>
                <c:pt idx="5" formatCode="General">
                  <c:v>0.175627240143369</c:v>
                </c:pt>
                <c:pt idx="6" formatCode="General">
                  <c:v>8.6021505376343996E-2</c:v>
                </c:pt>
                <c:pt idx="7" formatCode="General">
                  <c:v>0.13978494623655899</c:v>
                </c:pt>
                <c:pt idx="8" formatCode="General">
                  <c:v>0.17921146953405001</c:v>
                </c:pt>
                <c:pt idx="9" formatCode="General">
                  <c:v>0.18996415770609301</c:v>
                </c:pt>
                <c:pt idx="10" formatCode="General">
                  <c:v>0.204301075268817</c:v>
                </c:pt>
                <c:pt idx="11" formatCode="General">
                  <c:v>0.10573476702508899</c:v>
                </c:pt>
                <c:pt idx="12" formatCode="General">
                  <c:v>0.10573476702508899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96-499A-9428-79B0574B6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878207"/>
        <c:axId val="1618789199"/>
      </c:scatterChart>
      <c:valAx>
        <c:axId val="181687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789199"/>
        <c:crosses val="autoZero"/>
        <c:crossBetween val="midCat"/>
      </c:valAx>
      <c:valAx>
        <c:axId val="161878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878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96837</xdr:rowOff>
    </xdr:from>
    <xdr:to>
      <xdr:col>5</xdr:col>
      <xdr:colOff>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DD1E98-073C-CCFB-311B-24E8E3DDA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14</xdr:row>
      <xdr:rowOff>96837</xdr:rowOff>
    </xdr:from>
    <xdr:to>
      <xdr:col>10</xdr:col>
      <xdr:colOff>0</xdr:colOff>
      <xdr:row>25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B725A0-572C-034C-24B8-DF5F3D9BE9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39687</xdr:rowOff>
    </xdr:from>
    <xdr:to>
      <xdr:col>5</xdr:col>
      <xdr:colOff>0</xdr:colOff>
      <xdr:row>37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972F32-8B58-4EEE-65A6-D4833D980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598487</xdr:colOff>
      <xdr:row>25</xdr:row>
      <xdr:rowOff>39686</xdr:rowOff>
    </xdr:from>
    <xdr:to>
      <xdr:col>9</xdr:col>
      <xdr:colOff>571500</xdr:colOff>
      <xdr:row>37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3659EC-9F4C-45F7-318D-3FEF97C3C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96837</xdr:rowOff>
    </xdr:from>
    <xdr:to>
      <xdr:col>5</xdr:col>
      <xdr:colOff>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C72552-AB21-4ACD-9CC6-739B2CF54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14</xdr:row>
      <xdr:rowOff>96837</xdr:rowOff>
    </xdr:from>
    <xdr:to>
      <xdr:col>10</xdr:col>
      <xdr:colOff>0</xdr:colOff>
      <xdr:row>25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17E117-505A-4C53-9388-295FEF900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39687</xdr:rowOff>
    </xdr:from>
    <xdr:to>
      <xdr:col>5</xdr:col>
      <xdr:colOff>0</xdr:colOff>
      <xdr:row>37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B8E0F6-462C-40C2-8C29-4934036D7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598487</xdr:colOff>
      <xdr:row>25</xdr:row>
      <xdr:rowOff>39686</xdr:rowOff>
    </xdr:from>
    <xdr:to>
      <xdr:col>9</xdr:col>
      <xdr:colOff>571500</xdr:colOff>
      <xdr:row>37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D43BB2-AE7A-4EC3-A955-EEED68DD8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96837</xdr:rowOff>
    </xdr:from>
    <xdr:to>
      <xdr:col>5</xdr:col>
      <xdr:colOff>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5F336D-E653-48F9-A264-32ADE3858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14</xdr:row>
      <xdr:rowOff>96837</xdr:rowOff>
    </xdr:from>
    <xdr:to>
      <xdr:col>10</xdr:col>
      <xdr:colOff>0</xdr:colOff>
      <xdr:row>25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760BEB-3195-4F21-8DBB-E3F55CE8F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39687</xdr:rowOff>
    </xdr:from>
    <xdr:to>
      <xdr:col>5</xdr:col>
      <xdr:colOff>0</xdr:colOff>
      <xdr:row>37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C670A1-1BEA-44EC-8E0B-88DD671EB6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598487</xdr:colOff>
      <xdr:row>25</xdr:row>
      <xdr:rowOff>39686</xdr:rowOff>
    </xdr:from>
    <xdr:to>
      <xdr:col>9</xdr:col>
      <xdr:colOff>571500</xdr:colOff>
      <xdr:row>37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F54F49-6A53-4255-8100-80581300B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96837</xdr:rowOff>
    </xdr:from>
    <xdr:to>
      <xdr:col>5</xdr:col>
      <xdr:colOff>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C6F529-0D7D-4FA7-BFA1-D1490CE91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14</xdr:row>
      <xdr:rowOff>96837</xdr:rowOff>
    </xdr:from>
    <xdr:to>
      <xdr:col>10</xdr:col>
      <xdr:colOff>0</xdr:colOff>
      <xdr:row>25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B3EA93-53AB-42C5-8212-E74D2F6FE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39687</xdr:rowOff>
    </xdr:from>
    <xdr:to>
      <xdr:col>5</xdr:col>
      <xdr:colOff>0</xdr:colOff>
      <xdr:row>37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B0CDD2-F621-4436-9E29-E81F13D97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598487</xdr:colOff>
      <xdr:row>25</xdr:row>
      <xdr:rowOff>39686</xdr:rowOff>
    </xdr:from>
    <xdr:to>
      <xdr:col>9</xdr:col>
      <xdr:colOff>571500</xdr:colOff>
      <xdr:row>37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F6819E-89AE-45F0-BE83-D8C0B342C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96837</xdr:rowOff>
    </xdr:from>
    <xdr:to>
      <xdr:col>5</xdr:col>
      <xdr:colOff>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FFE527-7144-4F75-A858-AB0AE4A8A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14</xdr:row>
      <xdr:rowOff>96837</xdr:rowOff>
    </xdr:from>
    <xdr:to>
      <xdr:col>10</xdr:col>
      <xdr:colOff>0</xdr:colOff>
      <xdr:row>25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364768-4B63-499A-AF06-034EC6D7D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39687</xdr:rowOff>
    </xdr:from>
    <xdr:to>
      <xdr:col>5</xdr:col>
      <xdr:colOff>0</xdr:colOff>
      <xdr:row>37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9FEE9C-2C01-44DC-B5BA-B5CA84F20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598487</xdr:colOff>
      <xdr:row>25</xdr:row>
      <xdr:rowOff>39686</xdr:rowOff>
    </xdr:from>
    <xdr:to>
      <xdr:col>9</xdr:col>
      <xdr:colOff>571500</xdr:colOff>
      <xdr:row>37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9A3135-B8F7-469A-9B4A-5C7B91784E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96837</xdr:rowOff>
    </xdr:from>
    <xdr:to>
      <xdr:col>5</xdr:col>
      <xdr:colOff>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EE0DAF-0CD9-4381-A00E-204FF55D9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14</xdr:row>
      <xdr:rowOff>96837</xdr:rowOff>
    </xdr:from>
    <xdr:to>
      <xdr:col>10</xdr:col>
      <xdr:colOff>0</xdr:colOff>
      <xdr:row>25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54AC92-7C93-4E40-9D19-EF7C57666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39687</xdr:rowOff>
    </xdr:from>
    <xdr:to>
      <xdr:col>5</xdr:col>
      <xdr:colOff>0</xdr:colOff>
      <xdr:row>37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D21EE8-208E-4211-A011-8543FB8C2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598487</xdr:colOff>
      <xdr:row>25</xdr:row>
      <xdr:rowOff>39686</xdr:rowOff>
    </xdr:from>
    <xdr:to>
      <xdr:col>9</xdr:col>
      <xdr:colOff>571500</xdr:colOff>
      <xdr:row>37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F614AA-9A6D-4D3C-9855-1FB6AA7C8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96837</xdr:rowOff>
    </xdr:from>
    <xdr:to>
      <xdr:col>5</xdr:col>
      <xdr:colOff>0</xdr:colOff>
      <xdr:row>28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72781-9A4B-4221-9BEB-BB1C3C5F4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1587</xdr:rowOff>
    </xdr:from>
    <xdr:to>
      <xdr:col>10</xdr:col>
      <xdr:colOff>0</xdr:colOff>
      <xdr:row>29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AA393E-8DE6-4650-8CCA-F922D9DEE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39687</xdr:rowOff>
    </xdr:from>
    <xdr:to>
      <xdr:col>5</xdr:col>
      <xdr:colOff>0</xdr:colOff>
      <xdr:row>37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AC30E7-C954-4075-B09F-C9FE52030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598487</xdr:colOff>
      <xdr:row>25</xdr:row>
      <xdr:rowOff>39686</xdr:rowOff>
    </xdr:from>
    <xdr:to>
      <xdr:col>9</xdr:col>
      <xdr:colOff>571500</xdr:colOff>
      <xdr:row>37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D190EA-1097-444F-99D6-26E0D93DB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B7AE-1DDE-4914-90FB-94067BA4F938}">
  <dimension ref="A1:K13"/>
  <sheetViews>
    <sheetView workbookViewId="0">
      <selection activeCell="J3" sqref="J3:K10"/>
    </sheetView>
  </sheetViews>
  <sheetFormatPr defaultRowHeight="14.5" x14ac:dyDescent="0.35"/>
  <cols>
    <col min="8" max="8" width="9.81640625" bestFit="1" customWidth="1"/>
  </cols>
  <sheetData>
    <row r="1" spans="1:11" x14ac:dyDescent="0.35">
      <c r="A1" s="1" t="s">
        <v>0</v>
      </c>
      <c r="B1" s="1"/>
      <c r="D1" s="1" t="s">
        <v>3</v>
      </c>
      <c r="E1" s="1"/>
      <c r="G1" s="1" t="s">
        <v>4</v>
      </c>
      <c r="H1" s="1"/>
      <c r="J1" s="1" t="s">
        <v>5</v>
      </c>
      <c r="K1" s="1"/>
    </row>
    <row r="2" spans="1:11" x14ac:dyDescent="0.35">
      <c r="A2" t="s">
        <v>1</v>
      </c>
      <c r="B2" t="s">
        <v>2</v>
      </c>
      <c r="D2" t="s">
        <v>1</v>
      </c>
      <c r="E2" t="s">
        <v>2</v>
      </c>
      <c r="G2" t="s">
        <v>1</v>
      </c>
      <c r="H2" t="s">
        <v>2</v>
      </c>
      <c r="J2" t="s">
        <v>1</v>
      </c>
      <c r="K2" t="s">
        <v>2</v>
      </c>
    </row>
    <row r="3" spans="1:11" x14ac:dyDescent="0.35">
      <c r="A3">
        <v>0</v>
      </c>
      <c r="B3">
        <v>1</v>
      </c>
      <c r="D3">
        <v>0</v>
      </c>
      <c r="E3">
        <v>0</v>
      </c>
      <c r="G3">
        <v>0</v>
      </c>
      <c r="H3">
        <f>1*10^5</f>
        <v>100000</v>
      </c>
      <c r="J3">
        <v>0</v>
      </c>
      <c r="K3">
        <f>10*10^4</f>
        <v>100000</v>
      </c>
    </row>
    <row r="4" spans="1:11" x14ac:dyDescent="0.35">
      <c r="A4">
        <v>0.228791612288198</v>
      </c>
      <c r="B4">
        <v>1</v>
      </c>
      <c r="D4">
        <v>0.228698743005153</v>
      </c>
      <c r="E4">
        <v>0</v>
      </c>
      <c r="G4">
        <v>0.71148511189199104</v>
      </c>
      <c r="H4">
        <f>H3</f>
        <v>100000</v>
      </c>
      <c r="J4">
        <v>0.227527191800144</v>
      </c>
      <c r="K4">
        <f>K3</f>
        <v>100000</v>
      </c>
    </row>
    <row r="5" spans="1:11" x14ac:dyDescent="0.35">
      <c r="A5">
        <v>0.30142082887704702</v>
      </c>
      <c r="B5">
        <v>0.80955364897187398</v>
      </c>
      <c r="D5">
        <v>0.49063303391445401</v>
      </c>
      <c r="E5">
        <v>300</v>
      </c>
      <c r="G5">
        <f>G4</f>
        <v>0.71148511189199104</v>
      </c>
      <c r="H5">
        <f>1.25*10^5</f>
        <v>125000</v>
      </c>
      <c r="J5">
        <v>0.28529291916120703</v>
      </c>
      <c r="K5">
        <v>79016.393442622895</v>
      </c>
    </row>
    <row r="6" spans="1:11" x14ac:dyDescent="0.35">
      <c r="A6">
        <v>0.38741968869603099</v>
      </c>
      <c r="B6">
        <v>0.59674969885714901</v>
      </c>
      <c r="D6">
        <v>0.86050393728771102</v>
      </c>
      <c r="E6">
        <v>300</v>
      </c>
      <c r="G6">
        <f>G7</f>
        <v>0.86340732314155899</v>
      </c>
      <c r="H6">
        <f>H5</f>
        <v>125000</v>
      </c>
      <c r="J6">
        <v>0.40833150487414899</v>
      </c>
      <c r="K6">
        <v>44098.360655737699</v>
      </c>
    </row>
    <row r="7" spans="1:11" x14ac:dyDescent="0.35">
      <c r="A7">
        <v>0.45619176399823402</v>
      </c>
      <c r="B7">
        <v>0.48</v>
      </c>
      <c r="D7">
        <f>D6</f>
        <v>0.86050393728771102</v>
      </c>
      <c r="E7">
        <v>0</v>
      </c>
      <c r="G7">
        <v>0.86340732314155899</v>
      </c>
      <c r="H7">
        <v>121257</v>
      </c>
      <c r="J7">
        <v>0.49274989812870201</v>
      </c>
      <c r="K7">
        <v>29016.393442622899</v>
      </c>
    </row>
    <row r="8" spans="1:11" x14ac:dyDescent="0.35">
      <c r="A8">
        <v>0.5</v>
      </c>
      <c r="B8">
        <v>0.41849999999999998</v>
      </c>
      <c r="D8">
        <v>1</v>
      </c>
      <c r="E8">
        <v>0</v>
      </c>
      <c r="G8">
        <v>1</v>
      </c>
      <c r="H8">
        <v>121257</v>
      </c>
      <c r="J8">
        <v>0.85987211234053196</v>
      </c>
      <c r="K8">
        <f>K7</f>
        <v>29016.393442622899</v>
      </c>
    </row>
    <row r="9" spans="1:11" x14ac:dyDescent="0.35">
      <c r="A9">
        <v>0.71046364743802104</v>
      </c>
      <c r="B9">
        <f>B8</f>
        <v>0.41849999999999998</v>
      </c>
      <c r="J9">
        <f>J8</f>
        <v>0.85987211234053196</v>
      </c>
      <c r="K9">
        <f>K10</f>
        <v>9016.3934426229607</v>
      </c>
    </row>
    <row r="10" spans="1:11" x14ac:dyDescent="0.35">
      <c r="A10">
        <f>A9</f>
        <v>0.71046364743802104</v>
      </c>
      <c r="B10">
        <v>0.29899999999999999</v>
      </c>
      <c r="J10">
        <v>1</v>
      </c>
      <c r="K10">
        <v>9016.3934426229607</v>
      </c>
    </row>
    <row r="11" spans="1:11" x14ac:dyDescent="0.35">
      <c r="A11">
        <v>0.860560259194868</v>
      </c>
      <c r="B11">
        <f>B10</f>
        <v>0.29899999999999999</v>
      </c>
    </row>
    <row r="12" spans="1:11" x14ac:dyDescent="0.35">
      <c r="A12">
        <v>0.86073144339692198</v>
      </c>
      <c r="B12">
        <v>0.125</v>
      </c>
    </row>
    <row r="13" spans="1:11" x14ac:dyDescent="0.35">
      <c r="A13">
        <v>1</v>
      </c>
      <c r="B13">
        <v>0.125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469D-F120-439F-86F4-8EE3E1629B9E}">
  <dimension ref="A1:K12"/>
  <sheetViews>
    <sheetView workbookViewId="0">
      <selection activeCell="J3" sqref="J3:K11"/>
    </sheetView>
  </sheetViews>
  <sheetFormatPr defaultRowHeight="14.5" x14ac:dyDescent="0.35"/>
  <cols>
    <col min="8" max="8" width="9.81640625" bestFit="1" customWidth="1"/>
  </cols>
  <sheetData>
    <row r="1" spans="1:11" x14ac:dyDescent="0.35">
      <c r="A1" s="1" t="s">
        <v>0</v>
      </c>
      <c r="B1" s="1"/>
      <c r="D1" s="1" t="s">
        <v>3</v>
      </c>
      <c r="E1" s="1"/>
      <c r="G1" s="1" t="s">
        <v>4</v>
      </c>
      <c r="H1" s="1"/>
      <c r="J1" s="1" t="s">
        <v>5</v>
      </c>
      <c r="K1" s="1"/>
    </row>
    <row r="2" spans="1:11" x14ac:dyDescent="0.35">
      <c r="A2" t="s">
        <v>1</v>
      </c>
      <c r="B2" t="s">
        <v>2</v>
      </c>
      <c r="D2" t="s">
        <v>1</v>
      </c>
      <c r="E2" t="s">
        <v>2</v>
      </c>
      <c r="G2" t="s">
        <v>1</v>
      </c>
      <c r="H2" t="s">
        <v>2</v>
      </c>
      <c r="J2" t="s">
        <v>1</v>
      </c>
      <c r="K2" t="s">
        <v>2</v>
      </c>
    </row>
    <row r="3" spans="1:11" x14ac:dyDescent="0.35">
      <c r="A3">
        <v>0</v>
      </c>
      <c r="B3">
        <v>1.33294</v>
      </c>
      <c r="D3">
        <v>0</v>
      </c>
      <c r="E3">
        <v>111.78</v>
      </c>
      <c r="G3">
        <v>0</v>
      </c>
      <c r="H3">
        <v>116138.880264928</v>
      </c>
      <c r="J3">
        <v>0</v>
      </c>
      <c r="K3">
        <f>1.5*10^5</f>
        <v>150000</v>
      </c>
    </row>
    <row r="4" spans="1:11" x14ac:dyDescent="0.35">
      <c r="A4">
        <v>0.44054371645440898</v>
      </c>
      <c r="B4">
        <f>B3</f>
        <v>1.33294</v>
      </c>
      <c r="D4">
        <v>0.44380403458213202</v>
      </c>
      <c r="E4">
        <f>E3</f>
        <v>111.78</v>
      </c>
      <c r="G4">
        <v>0.53093702208883797</v>
      </c>
      <c r="H4">
        <f>H3</f>
        <v>116138.880264928</v>
      </c>
      <c r="J4">
        <v>0.44430885606222698</v>
      </c>
      <c r="K4">
        <f>K3</f>
        <v>150000</v>
      </c>
    </row>
    <row r="5" spans="1:11" x14ac:dyDescent="0.35">
      <c r="A5">
        <v>0.45123384253818999</v>
      </c>
      <c r="B5">
        <v>1.2628322799885601</v>
      </c>
      <c r="D5">
        <v>0.45148895292987501</v>
      </c>
      <c r="E5">
        <v>139.83287743357201</v>
      </c>
      <c r="G5">
        <f>G4</f>
        <v>0.53093702208883797</v>
      </c>
      <c r="H5">
        <v>2727892.4764565802</v>
      </c>
      <c r="J5">
        <v>0.45636194961821103</v>
      </c>
      <c r="K5">
        <v>137500</v>
      </c>
    </row>
    <row r="6" spans="1:11" x14ac:dyDescent="0.35">
      <c r="A6">
        <v>0.461930320449709</v>
      </c>
      <c r="B6">
        <f>B7</f>
        <v>1.18599390224537</v>
      </c>
      <c r="D6">
        <v>0.46109510086455302</v>
      </c>
      <c r="E6">
        <f>E7</f>
        <v>159.51017362545701</v>
      </c>
      <c r="G6">
        <v>1</v>
      </c>
      <c r="H6">
        <f>H5</f>
        <v>2727892.4764565802</v>
      </c>
      <c r="J6">
        <v>0.46750517376721601</v>
      </c>
      <c r="K6">
        <v>126666.666666666</v>
      </c>
    </row>
    <row r="7" spans="1:11" x14ac:dyDescent="0.35">
      <c r="A7">
        <v>0.53257852447041598</v>
      </c>
      <c r="B7">
        <v>1.18599390224537</v>
      </c>
      <c r="D7">
        <v>0.68780019212295795</v>
      </c>
      <c r="E7">
        <v>159.51017362545701</v>
      </c>
      <c r="J7">
        <v>0.59946121458645496</v>
      </c>
      <c r="K7">
        <f>K6</f>
        <v>126666.666666666</v>
      </c>
    </row>
    <row r="8" spans="1:11" x14ac:dyDescent="0.35">
      <c r="A8">
        <f>A7</f>
        <v>0.53257852447041598</v>
      </c>
      <c r="B8">
        <v>0.15071553339473401</v>
      </c>
      <c r="D8">
        <v>0.72142170989433196</v>
      </c>
      <c r="E8">
        <v>156.01583706857301</v>
      </c>
      <c r="J8">
        <v>0.72470919860129801</v>
      </c>
      <c r="K8">
        <f>K7</f>
        <v>126666.666666666</v>
      </c>
    </row>
    <row r="9" spans="1:11" x14ac:dyDescent="0.35">
      <c r="A9">
        <v>0.71856004065169699</v>
      </c>
      <c r="B9">
        <v>0.14660939435322401</v>
      </c>
      <c r="D9">
        <f>D10</f>
        <v>0.73102785782901003</v>
      </c>
      <c r="E9">
        <v>139.75282038944101</v>
      </c>
      <c r="J9">
        <v>0.73370798544208904</v>
      </c>
      <c r="K9">
        <v>109629.62962962899</v>
      </c>
    </row>
    <row r="10" spans="1:11" x14ac:dyDescent="0.35">
      <c r="A10">
        <v>0.74600946422333003</v>
      </c>
      <c r="B10">
        <f>B11</f>
        <v>0.13789999999999999</v>
      </c>
      <c r="D10">
        <v>0.73102785782901003</v>
      </c>
      <c r="E10">
        <v>1.8206701290640901</v>
      </c>
      <c r="J10">
        <v>0.746817241133233</v>
      </c>
      <c r="K10">
        <f>K11</f>
        <v>100000</v>
      </c>
    </row>
    <row r="11" spans="1:11" x14ac:dyDescent="0.35">
      <c r="A11">
        <v>1</v>
      </c>
      <c r="B11">
        <v>0.13789999999999999</v>
      </c>
      <c r="D11">
        <v>0.75600384245917396</v>
      </c>
      <c r="E11">
        <v>0</v>
      </c>
      <c r="J11">
        <v>1</v>
      </c>
      <c r="K11">
        <v>100000</v>
      </c>
    </row>
    <row r="12" spans="1:11" x14ac:dyDescent="0.35">
      <c r="D12">
        <v>1</v>
      </c>
      <c r="E12">
        <v>0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15F5-E271-41D5-A2A5-F22031D6A1B9}">
  <dimension ref="A1:K12"/>
  <sheetViews>
    <sheetView workbookViewId="0">
      <selection activeCell="J3" sqref="J3:K10"/>
    </sheetView>
  </sheetViews>
  <sheetFormatPr defaultRowHeight="14.5" x14ac:dyDescent="0.35"/>
  <cols>
    <col min="8" max="8" width="9.81640625" bestFit="1" customWidth="1"/>
  </cols>
  <sheetData>
    <row r="1" spans="1:11" x14ac:dyDescent="0.35">
      <c r="A1" s="1" t="s">
        <v>0</v>
      </c>
      <c r="B1" s="1"/>
      <c r="D1" s="1" t="s">
        <v>3</v>
      </c>
      <c r="E1" s="1"/>
      <c r="G1" s="1" t="s">
        <v>4</v>
      </c>
      <c r="H1" s="1"/>
      <c r="J1" s="1" t="s">
        <v>5</v>
      </c>
      <c r="K1" s="1"/>
    </row>
    <row r="2" spans="1:11" x14ac:dyDescent="0.35">
      <c r="A2" t="s">
        <v>1</v>
      </c>
      <c r="B2" t="s">
        <v>2</v>
      </c>
      <c r="D2" t="s">
        <v>1</v>
      </c>
      <c r="E2" t="s">
        <v>2</v>
      </c>
      <c r="G2" t="s">
        <v>1</v>
      </c>
      <c r="H2" t="s">
        <v>2</v>
      </c>
      <c r="J2" t="s">
        <v>1</v>
      </c>
      <c r="K2" t="s">
        <v>2</v>
      </c>
    </row>
    <row r="3" spans="1:11" x14ac:dyDescent="0.35">
      <c r="A3">
        <v>0</v>
      </c>
      <c r="B3">
        <v>1.33297</v>
      </c>
      <c r="D3">
        <v>0</v>
      </c>
      <c r="E3">
        <v>111.795</v>
      </c>
      <c r="G3">
        <v>0</v>
      </c>
      <c r="H3">
        <f>10*10^4</f>
        <v>100000</v>
      </c>
      <c r="J3">
        <v>0</v>
      </c>
      <c r="K3">
        <v>149995</v>
      </c>
    </row>
    <row r="4" spans="1:11" x14ac:dyDescent="0.35">
      <c r="A4">
        <v>0.28457404488478499</v>
      </c>
      <c r="B4">
        <f>B3</f>
        <v>1.33297</v>
      </c>
      <c r="D4">
        <v>0.27376069383770402</v>
      </c>
      <c r="E4">
        <f>E3</f>
        <v>111.795</v>
      </c>
      <c r="G4">
        <f>G5</f>
        <v>0.56034621410538799</v>
      </c>
      <c r="H4">
        <f>H3</f>
        <v>100000</v>
      </c>
      <c r="J4">
        <v>0.285906240668856</v>
      </c>
      <c r="K4">
        <f>K3</f>
        <v>149995</v>
      </c>
    </row>
    <row r="5" spans="1:11" x14ac:dyDescent="0.35">
      <c r="A5">
        <v>0.30287172558733</v>
      </c>
      <c r="B5">
        <f>B6</f>
        <v>1.4389161600240099</v>
      </c>
      <c r="D5">
        <f>D6</f>
        <v>0.29674003425337497</v>
      </c>
      <c r="E5">
        <v>107.520415508339</v>
      </c>
      <c r="G5">
        <v>0.56034621410538799</v>
      </c>
      <c r="H5">
        <f>H6</f>
        <v>23820.789322107401</v>
      </c>
      <c r="J5">
        <v>0.29036279486413802</v>
      </c>
      <c r="K5">
        <v>165840</v>
      </c>
    </row>
    <row r="6" spans="1:11" x14ac:dyDescent="0.35">
      <c r="A6">
        <v>0.55577272386099197</v>
      </c>
      <c r="B6">
        <v>1.4389161600240099</v>
      </c>
      <c r="D6">
        <v>0.29674003425337497</v>
      </c>
      <c r="E6">
        <v>83.640414019062703</v>
      </c>
      <c r="G6">
        <v>1</v>
      </c>
      <c r="H6">
        <v>23820.789322107401</v>
      </c>
      <c r="J6">
        <v>0.65826366079426601</v>
      </c>
      <c r="K6">
        <v>165840</v>
      </c>
    </row>
    <row r="7" spans="1:11" x14ac:dyDescent="0.35">
      <c r="A7">
        <f>A6</f>
        <v>0.55577272386099197</v>
      </c>
      <c r="B7">
        <v>4.7140399999999998</v>
      </c>
      <c r="D7">
        <v>0.32948861944003099</v>
      </c>
      <c r="E7">
        <f>E8</f>
        <v>83.245135027799805</v>
      </c>
      <c r="J7">
        <v>0.66667661988653304</v>
      </c>
      <c r="K7">
        <v>163307.04687966499</v>
      </c>
    </row>
    <row r="8" spans="1:11" x14ac:dyDescent="0.35">
      <c r="A8">
        <f>A9</f>
        <v>0.67461682804173195</v>
      </c>
      <c r="B8">
        <f>B7</f>
        <v>4.7140399999999998</v>
      </c>
      <c r="D8">
        <v>0.64379643649060103</v>
      </c>
      <c r="E8">
        <v>83.245135027799805</v>
      </c>
      <c r="J8">
        <v>0.67250671842341003</v>
      </c>
      <c r="K8">
        <v>101686.772170797</v>
      </c>
    </row>
    <row r="9" spans="1:11" x14ac:dyDescent="0.35">
      <c r="A9">
        <v>0.67461682804173195</v>
      </c>
      <c r="B9">
        <f>B10</f>
        <v>3.1537999999999999</v>
      </c>
      <c r="D9">
        <f>D10</f>
        <v>0.67342788175139001</v>
      </c>
      <c r="E9">
        <v>76.351953435266097</v>
      </c>
      <c r="J9">
        <v>0.688981785607644</v>
      </c>
      <c r="K9">
        <f>K10</f>
        <v>100000</v>
      </c>
    </row>
    <row r="10" spans="1:11" x14ac:dyDescent="0.35">
      <c r="A10">
        <v>1</v>
      </c>
      <c r="B10">
        <v>3.1537999999999999</v>
      </c>
      <c r="D10">
        <v>0.67342788175139001</v>
      </c>
      <c r="E10">
        <v>2.1233369737885499</v>
      </c>
      <c r="J10">
        <v>1</v>
      </c>
      <c r="K10">
        <v>100000</v>
      </c>
    </row>
    <row r="11" spans="1:11" x14ac:dyDescent="0.35">
      <c r="D11">
        <v>0.69870008852925602</v>
      </c>
      <c r="E11">
        <f>E12</f>
        <v>0</v>
      </c>
    </row>
    <row r="12" spans="1:11" x14ac:dyDescent="0.35">
      <c r="D12">
        <v>1</v>
      </c>
      <c r="E12">
        <v>0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6BDD-8DE3-4BBA-9194-2019EDFD8EC1}">
  <dimension ref="A1:K13"/>
  <sheetViews>
    <sheetView workbookViewId="0">
      <selection activeCell="J3" sqref="J3:K12"/>
    </sheetView>
  </sheetViews>
  <sheetFormatPr defaultRowHeight="14.5" x14ac:dyDescent="0.35"/>
  <cols>
    <col min="8" max="8" width="9.81640625" bestFit="1" customWidth="1"/>
  </cols>
  <sheetData>
    <row r="1" spans="1:11" x14ac:dyDescent="0.35">
      <c r="A1" s="1" t="s">
        <v>0</v>
      </c>
      <c r="B1" s="1"/>
      <c r="D1" s="1" t="s">
        <v>3</v>
      </c>
      <c r="E1" s="1"/>
      <c r="G1" s="1" t="s">
        <v>4</v>
      </c>
      <c r="H1" s="1"/>
      <c r="J1" s="1" t="s">
        <v>5</v>
      </c>
      <c r="K1" s="1"/>
    </row>
    <row r="2" spans="1:11" x14ac:dyDescent="0.35">
      <c r="A2" t="s">
        <v>1</v>
      </c>
      <c r="B2" t="s">
        <v>2</v>
      </c>
      <c r="D2" t="s">
        <v>1</v>
      </c>
      <c r="E2" t="s">
        <v>2</v>
      </c>
      <c r="G2" t="s">
        <v>1</v>
      </c>
      <c r="H2" t="s">
        <v>2</v>
      </c>
      <c r="J2" t="s">
        <v>1</v>
      </c>
      <c r="K2" t="s">
        <v>2</v>
      </c>
    </row>
    <row r="3" spans="1:11" x14ac:dyDescent="0.35">
      <c r="A3">
        <v>0</v>
      </c>
      <c r="B3">
        <v>4.3333000000000004</v>
      </c>
      <c r="D3">
        <v>0</v>
      </c>
      <c r="E3">
        <v>1037.82</v>
      </c>
      <c r="G3">
        <v>0</v>
      </c>
      <c r="H3">
        <v>192550.65460000001</v>
      </c>
      <c r="J3">
        <v>0</v>
      </c>
      <c r="K3" s="2">
        <v>1500000</v>
      </c>
    </row>
    <row r="4" spans="1:11" x14ac:dyDescent="0.35">
      <c r="A4">
        <v>0.20163342812641899</v>
      </c>
      <c r="B4">
        <v>4.3333000000000004</v>
      </c>
      <c r="D4">
        <v>0.20781359293480201</v>
      </c>
      <c r="E4">
        <v>1037.82</v>
      </c>
      <c r="G4">
        <v>0.74294671371089205</v>
      </c>
      <c r="H4">
        <v>192550.65460000001</v>
      </c>
      <c r="J4">
        <v>0.19981498612395901</v>
      </c>
      <c r="K4" s="2">
        <v>1500000</v>
      </c>
    </row>
    <row r="5" spans="1:11" x14ac:dyDescent="0.35">
      <c r="A5">
        <v>0.221076678767263</v>
      </c>
      <c r="B5">
        <v>4.30560940371796</v>
      </c>
      <c r="D5">
        <v>0.22291235334713499</v>
      </c>
      <c r="E5">
        <v>1059.9093015031699</v>
      </c>
      <c r="G5">
        <f>G4</f>
        <v>0.74294671371089205</v>
      </c>
      <c r="H5">
        <v>3527767.9211049499</v>
      </c>
      <c r="J5">
        <v>0.22386679000925</v>
      </c>
      <c r="K5">
        <v>1479935.6720984799</v>
      </c>
    </row>
    <row r="6" spans="1:11" x14ac:dyDescent="0.35">
      <c r="A6">
        <v>0.24697104086465901</v>
      </c>
      <c r="B6">
        <v>4.3333000000000004</v>
      </c>
      <c r="D6">
        <v>0.23985873343023201</v>
      </c>
      <c r="E6">
        <v>1037.82</v>
      </c>
      <c r="G6">
        <v>0.90673058254052197</v>
      </c>
      <c r="H6">
        <f>H5</f>
        <v>3527767.9211049499</v>
      </c>
      <c r="J6">
        <v>0.25161887141535599</v>
      </c>
      <c r="K6" s="2">
        <v>1500000</v>
      </c>
    </row>
    <row r="7" spans="1:11" x14ac:dyDescent="0.35">
      <c r="A7">
        <v>0.54669245282443701</v>
      </c>
      <c r="B7">
        <v>4.3333000000000004</v>
      </c>
      <c r="D7">
        <v>0.54712131196575198</v>
      </c>
      <c r="E7">
        <v>1037.82</v>
      </c>
      <c r="G7">
        <f>G6</f>
        <v>0.90673058254052197</v>
      </c>
      <c r="H7">
        <v>2734813.2508</v>
      </c>
      <c r="J7">
        <v>0.55134135060129497</v>
      </c>
      <c r="K7" s="2">
        <v>1500000</v>
      </c>
    </row>
    <row r="8" spans="1:11" x14ac:dyDescent="0.35">
      <c r="A8">
        <v>0.65257419616377499</v>
      </c>
      <c r="B8">
        <v>2.2859360283830599</v>
      </c>
      <c r="D8">
        <v>0.654122793488776</v>
      </c>
      <c r="E8">
        <v>1467.55</v>
      </c>
      <c r="G8">
        <v>1</v>
      </c>
      <c r="H8">
        <v>2734813.2508</v>
      </c>
      <c r="J8">
        <v>0.63552266419981496</v>
      </c>
      <c r="K8">
        <v>656333.59425033699</v>
      </c>
    </row>
    <row r="9" spans="1:11" x14ac:dyDescent="0.35">
      <c r="A9">
        <f>A10</f>
        <v>0.74177418519094196</v>
      </c>
      <c r="B9">
        <f>B8</f>
        <v>2.2859360283830599</v>
      </c>
      <c r="D9">
        <v>0.90859890918777897</v>
      </c>
      <c r="E9">
        <v>1467.55</v>
      </c>
      <c r="J9">
        <v>0.665124884366327</v>
      </c>
      <c r="K9">
        <v>604714.15356151701</v>
      </c>
    </row>
    <row r="10" spans="1:11" x14ac:dyDescent="0.35">
      <c r="A10">
        <v>0.74177418519094196</v>
      </c>
      <c r="B10">
        <v>0.37258940572964599</v>
      </c>
      <c r="D10">
        <v>0.90781842229481802</v>
      </c>
      <c r="E10">
        <v>0</v>
      </c>
      <c r="J10">
        <v>0.905642923219241</v>
      </c>
      <c r="K10">
        <v>607767.736426385</v>
      </c>
    </row>
    <row r="11" spans="1:11" x14ac:dyDescent="0.35">
      <c r="A11">
        <v>0.90180990785868198</v>
      </c>
      <c r="B11">
        <f>B10</f>
        <v>0.37258940572964599</v>
      </c>
      <c r="D11">
        <v>1</v>
      </c>
      <c r="E11">
        <v>0</v>
      </c>
      <c r="J11">
        <f>J10</f>
        <v>0.905642923219241</v>
      </c>
      <c r="K11">
        <v>100000</v>
      </c>
    </row>
    <row r="12" spans="1:11" x14ac:dyDescent="0.35">
      <c r="A12">
        <v>0.912026834672933</v>
      </c>
      <c r="B12">
        <v>0.13789999999999999</v>
      </c>
      <c r="J12">
        <v>1</v>
      </c>
      <c r="K12">
        <v>100000</v>
      </c>
    </row>
    <row r="13" spans="1:11" x14ac:dyDescent="0.35">
      <c r="A13">
        <v>1</v>
      </c>
      <c r="B13">
        <v>0.13789999999999999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2626-6B09-4564-91E5-4CF58A056ADB}">
  <dimension ref="A1:K11"/>
  <sheetViews>
    <sheetView workbookViewId="0">
      <selection activeCell="J3" sqref="J3:K11"/>
    </sheetView>
  </sheetViews>
  <sheetFormatPr defaultRowHeight="14.5" x14ac:dyDescent="0.35"/>
  <cols>
    <col min="8" max="8" width="9.81640625" bestFit="1" customWidth="1"/>
    <col min="11" max="11" width="9.81640625" bestFit="1" customWidth="1"/>
  </cols>
  <sheetData>
    <row r="1" spans="1:11" x14ac:dyDescent="0.35">
      <c r="A1" s="1" t="s">
        <v>0</v>
      </c>
      <c r="B1" s="1"/>
      <c r="D1" s="1" t="s">
        <v>3</v>
      </c>
      <c r="E1" s="1"/>
      <c r="G1" s="1" t="s">
        <v>4</v>
      </c>
      <c r="H1" s="1"/>
      <c r="J1" s="1" t="s">
        <v>5</v>
      </c>
      <c r="K1" s="1"/>
    </row>
    <row r="2" spans="1:11" x14ac:dyDescent="0.35">
      <c r="A2" t="s">
        <v>1</v>
      </c>
      <c r="B2" t="s">
        <v>2</v>
      </c>
      <c r="D2" t="s">
        <v>1</v>
      </c>
      <c r="E2" t="s">
        <v>2</v>
      </c>
      <c r="G2" t="s">
        <v>1</v>
      </c>
      <c r="H2" t="s">
        <v>2</v>
      </c>
      <c r="J2" t="s">
        <v>1</v>
      </c>
      <c r="K2" t="s">
        <v>2</v>
      </c>
    </row>
    <row r="3" spans="1:11" x14ac:dyDescent="0.35">
      <c r="A3">
        <v>0</v>
      </c>
      <c r="B3">
        <v>4.3333000000000004</v>
      </c>
      <c r="D3">
        <v>0</v>
      </c>
      <c r="E3">
        <v>1037.5999999999999</v>
      </c>
      <c r="G3">
        <v>0</v>
      </c>
      <c r="H3">
        <v>192550.65460000001</v>
      </c>
      <c r="J3">
        <v>0</v>
      </c>
      <c r="K3" s="2">
        <v>1500000</v>
      </c>
    </row>
    <row r="4" spans="1:11" x14ac:dyDescent="0.35">
      <c r="A4">
        <v>0.56267070458840496</v>
      </c>
      <c r="B4">
        <v>4.3333000000000004</v>
      </c>
      <c r="D4">
        <v>0.27633378693997102</v>
      </c>
      <c r="E4">
        <v>1037.5999999999999</v>
      </c>
      <c r="G4">
        <v>0.69235966915409397</v>
      </c>
      <c r="H4">
        <v>192550.65460000001</v>
      </c>
      <c r="J4">
        <v>0.27493010251630901</v>
      </c>
      <c r="K4" s="2">
        <v>1500000</v>
      </c>
    </row>
    <row r="5" spans="1:11" x14ac:dyDescent="0.35">
      <c r="A5">
        <f>A4</f>
        <v>0.56267070458840496</v>
      </c>
      <c r="B5">
        <v>6.0641090176284296</v>
      </c>
      <c r="D5">
        <v>0.29788505176880398</v>
      </c>
      <c r="E5">
        <v>1034.8956850304501</v>
      </c>
      <c r="G5">
        <v>0.71323235661124595</v>
      </c>
      <c r="H5">
        <v>196652.774558206</v>
      </c>
      <c r="J5">
        <v>0.29170549860204997</v>
      </c>
      <c r="K5">
        <v>1474714.8808043799</v>
      </c>
    </row>
    <row r="6" spans="1:11" x14ac:dyDescent="0.35">
      <c r="A6">
        <f>A7</f>
        <v>0.78900578976540403</v>
      </c>
      <c r="B6">
        <f>B5</f>
        <v>6.0641090176284296</v>
      </c>
      <c r="D6">
        <v>0.320346441342372</v>
      </c>
      <c r="E6">
        <v>1037.5999999999999</v>
      </c>
      <c r="G6">
        <v>0.74443288138769803</v>
      </c>
      <c r="H6">
        <v>192550.65460000001</v>
      </c>
      <c r="J6">
        <v>0.308480894687791</v>
      </c>
      <c r="K6" s="2">
        <v>1500000</v>
      </c>
    </row>
    <row r="7" spans="1:11" x14ac:dyDescent="0.35">
      <c r="A7">
        <v>0.78900578976540403</v>
      </c>
      <c r="B7">
        <v>20.715345722428999</v>
      </c>
      <c r="D7">
        <v>0.56472978378859895</v>
      </c>
      <c r="E7">
        <v>1037.5999999999999</v>
      </c>
      <c r="G7">
        <v>0.787998204712137</v>
      </c>
      <c r="H7">
        <v>192550.65460000001</v>
      </c>
      <c r="J7">
        <v>0.56383970177073595</v>
      </c>
      <c r="K7" s="2">
        <v>1500000</v>
      </c>
    </row>
    <row r="8" spans="1:11" x14ac:dyDescent="0.35">
      <c r="A8">
        <v>0.84026224231537205</v>
      </c>
      <c r="B8">
        <v>20.711840995342399</v>
      </c>
      <c r="D8">
        <f>D7</f>
        <v>0.56472978378859895</v>
      </c>
      <c r="E8">
        <f>E9</f>
        <v>787.61426782123795</v>
      </c>
      <c r="G8">
        <f>G7</f>
        <v>0.787998204712137</v>
      </c>
      <c r="H8">
        <f>H9</f>
        <v>55051.022672907297</v>
      </c>
      <c r="J8">
        <f>J7</f>
        <v>0.56383970177073595</v>
      </c>
      <c r="K8">
        <f>K9</f>
        <v>2427669.6415361101</v>
      </c>
    </row>
    <row r="9" spans="1:11" x14ac:dyDescent="0.35">
      <c r="A9">
        <f>A8</f>
        <v>0.84026224231537205</v>
      </c>
      <c r="B9">
        <v>3.1537999999999999</v>
      </c>
      <c r="D9">
        <v>0.840724675909993</v>
      </c>
      <c r="E9">
        <v>787.61426782123795</v>
      </c>
      <c r="G9">
        <v>0.83883838956760104</v>
      </c>
      <c r="H9">
        <v>55051.022672907297</v>
      </c>
      <c r="J9">
        <v>0.84063373718546097</v>
      </c>
      <c r="K9">
        <v>2427669.6415361101</v>
      </c>
    </row>
    <row r="10" spans="1:11" x14ac:dyDescent="0.35">
      <c r="A10">
        <v>1</v>
      </c>
      <c r="B10">
        <v>3.1537999999999999</v>
      </c>
      <c r="D10">
        <f>D9</f>
        <v>0.840724675909993</v>
      </c>
      <c r="E10">
        <v>0</v>
      </c>
      <c r="G10">
        <f>G9</f>
        <v>0.83883838956760104</v>
      </c>
      <c r="H10">
        <v>23820.7893</v>
      </c>
      <c r="J10">
        <f>J9</f>
        <v>0.84063373718546097</v>
      </c>
      <c r="K10">
        <v>103595.468599136</v>
      </c>
    </row>
    <row r="11" spans="1:11" x14ac:dyDescent="0.35">
      <c r="D11">
        <v>1</v>
      </c>
      <c r="E11">
        <v>0</v>
      </c>
      <c r="G11">
        <v>1</v>
      </c>
      <c r="H11">
        <v>23820.7893</v>
      </c>
      <c r="J11">
        <v>1</v>
      </c>
      <c r="K11">
        <v>98207.299234445207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A765-D39C-4DF9-843A-97DA7D71BED3}">
  <dimension ref="A1:K13"/>
  <sheetViews>
    <sheetView workbookViewId="0">
      <selection activeCell="J3" sqref="J3:K13"/>
    </sheetView>
  </sheetViews>
  <sheetFormatPr defaultRowHeight="14.5" x14ac:dyDescent="0.35"/>
  <cols>
    <col min="8" max="8" width="9.81640625" bestFit="1" customWidth="1"/>
    <col min="11" max="11" width="9.81640625" bestFit="1" customWidth="1"/>
  </cols>
  <sheetData>
    <row r="1" spans="1:11" x14ac:dyDescent="0.35">
      <c r="A1" s="1" t="s">
        <v>0</v>
      </c>
      <c r="B1" s="1"/>
      <c r="D1" s="1" t="s">
        <v>3</v>
      </c>
      <c r="E1" s="1"/>
      <c r="G1" s="1" t="s">
        <v>6</v>
      </c>
      <c r="H1" s="1"/>
      <c r="J1" s="1" t="s">
        <v>5</v>
      </c>
      <c r="K1" s="1"/>
    </row>
    <row r="2" spans="1:11" x14ac:dyDescent="0.35">
      <c r="A2" t="s">
        <v>1</v>
      </c>
      <c r="B2" t="s">
        <v>2</v>
      </c>
      <c r="D2" t="s">
        <v>1</v>
      </c>
      <c r="E2" t="s">
        <v>2</v>
      </c>
      <c r="G2" t="s">
        <v>1</v>
      </c>
      <c r="H2" t="s">
        <v>2</v>
      </c>
      <c r="J2" t="s">
        <v>1</v>
      </c>
      <c r="K2" t="s">
        <v>2</v>
      </c>
    </row>
    <row r="3" spans="1:11" x14ac:dyDescent="0.35">
      <c r="A3">
        <v>0</v>
      </c>
      <c r="B3">
        <v>1</v>
      </c>
      <c r="D3">
        <v>0</v>
      </c>
      <c r="E3">
        <v>0</v>
      </c>
      <c r="G3">
        <v>0</v>
      </c>
      <c r="H3">
        <v>2.5</v>
      </c>
      <c r="J3">
        <v>0</v>
      </c>
      <c r="K3" s="2">
        <v>1</v>
      </c>
    </row>
    <row r="4" spans="1:11" x14ac:dyDescent="0.35">
      <c r="A4">
        <v>0.10680656137414</v>
      </c>
      <c r="B4">
        <v>1</v>
      </c>
      <c r="D4">
        <v>0.11183355006501899</v>
      </c>
      <c r="E4">
        <v>0</v>
      </c>
      <c r="G4">
        <v>0.111692407919407</v>
      </c>
      <c r="H4">
        <v>2.5</v>
      </c>
      <c r="J4">
        <v>0.115803994360425</v>
      </c>
      <c r="K4" s="2">
        <v>1</v>
      </c>
    </row>
    <row r="5" spans="1:11" x14ac:dyDescent="0.35">
      <c r="A5">
        <v>0.21275564976891401</v>
      </c>
      <c r="B5">
        <v>0.64431474944502998</v>
      </c>
      <c r="D5">
        <v>0.248374512353706</v>
      </c>
      <c r="E5">
        <v>0.56303689136297497</v>
      </c>
      <c r="G5">
        <v>0.26450726157561799</v>
      </c>
      <c r="H5">
        <v>1.9321265134903201</v>
      </c>
      <c r="J5">
        <v>0.175229995232733</v>
      </c>
      <c r="K5">
        <v>0.68761220825852798</v>
      </c>
    </row>
    <row r="6" spans="1:11" x14ac:dyDescent="0.35">
      <c r="A6">
        <v>0.33190572801048002</v>
      </c>
      <c r="B6">
        <v>0.400906146511881</v>
      </c>
      <c r="D6">
        <v>0.42262678803641102</v>
      </c>
      <c r="E6">
        <v>1.1256433087561699</v>
      </c>
      <c r="G6">
        <v>0.42290733149013199</v>
      </c>
      <c r="H6">
        <v>1.4900705501000999</v>
      </c>
      <c r="J6">
        <v>0.26722555254642999</v>
      </c>
      <c r="K6" s="2">
        <v>0.39856373429084302</v>
      </c>
    </row>
    <row r="7" spans="1:11" x14ac:dyDescent="0.35">
      <c r="A7">
        <v>0.42018905345900498</v>
      </c>
      <c r="B7">
        <v>0.27669538556716</v>
      </c>
      <c r="D7">
        <v>0.51495448634590302</v>
      </c>
      <c r="E7">
        <v>0.93505608332746104</v>
      </c>
      <c r="G7">
        <v>0.50694775479073295</v>
      </c>
      <c r="H7">
        <v>1.5831680808466</v>
      </c>
      <c r="J7">
        <v>0.34572822525839603</v>
      </c>
      <c r="K7" s="2">
        <v>0.25852782764811499</v>
      </c>
    </row>
    <row r="8" spans="1:11" x14ac:dyDescent="0.35">
      <c r="A8">
        <v>0.52159603697368895</v>
      </c>
      <c r="B8">
        <v>0.32286473306888802</v>
      </c>
      <c r="D8">
        <v>0.64239271781534402</v>
      </c>
      <c r="E8">
        <v>0.81364192508984201</v>
      </c>
      <c r="G8">
        <v>0.623575889026599</v>
      </c>
      <c r="H8">
        <v>1.6299206311373799</v>
      </c>
      <c r="J8">
        <v>0.42442868879895301</v>
      </c>
      <c r="K8">
        <v>0.16517055655296201</v>
      </c>
    </row>
    <row r="9" spans="1:11" x14ac:dyDescent="0.35">
      <c r="A9">
        <v>0.62036236762618702</v>
      </c>
      <c r="B9">
        <v>0.34688307434768301</v>
      </c>
      <c r="D9">
        <v>0.73732119635890703</v>
      </c>
      <c r="E9">
        <v>0.76297155156399099</v>
      </c>
      <c r="G9">
        <f>G8</f>
        <v>0.623575889026599</v>
      </c>
      <c r="H9">
        <v>2.6323565163504599</v>
      </c>
      <c r="J9">
        <v>0.526298572863098</v>
      </c>
      <c r="K9">
        <v>0.206463195691203</v>
      </c>
    </row>
    <row r="10" spans="1:11" x14ac:dyDescent="0.35">
      <c r="A10">
        <f>A9</f>
        <v>0.62036236762618702</v>
      </c>
      <c r="B10">
        <v>0.214008879507987</v>
      </c>
      <c r="D10">
        <v>0.815344603381014</v>
      </c>
      <c r="E10">
        <v>0.72796479337889997</v>
      </c>
      <c r="G10">
        <v>0.82019456891346398</v>
      </c>
      <c r="H10">
        <f>H9</f>
        <v>2.6323565163504599</v>
      </c>
      <c r="J10">
        <v>0.66199829595593795</v>
      </c>
      <c r="K10">
        <v>0.23159784560143601</v>
      </c>
    </row>
    <row r="11" spans="1:11" x14ac:dyDescent="0.35">
      <c r="A11">
        <v>0.81544770552057899</v>
      </c>
      <c r="B11">
        <v>0.22796499144801399</v>
      </c>
      <c r="D11">
        <f>D10</f>
        <v>0.815344603381014</v>
      </c>
      <c r="E11">
        <v>0</v>
      </c>
      <c r="G11">
        <f>G10</f>
        <v>0.82019456891346398</v>
      </c>
      <c r="H11">
        <v>2</v>
      </c>
      <c r="J11">
        <v>0.81738834961303897</v>
      </c>
      <c r="K11">
        <v>0.23698384201077199</v>
      </c>
    </row>
    <row r="12" spans="1:11" x14ac:dyDescent="0.35">
      <c r="A12">
        <f>A11</f>
        <v>0.81544770552057899</v>
      </c>
      <c r="B12">
        <v>0.122341151424724</v>
      </c>
      <c r="D12">
        <v>1</v>
      </c>
      <c r="E12">
        <v>0</v>
      </c>
      <c r="G12">
        <v>1</v>
      </c>
      <c r="H12">
        <v>2</v>
      </c>
      <c r="J12">
        <f>J11</f>
        <v>0.81738834961303897</v>
      </c>
      <c r="K12">
        <v>0.102333931777379</v>
      </c>
    </row>
    <row r="13" spans="1:11" x14ac:dyDescent="0.35">
      <c r="A13">
        <v>1</v>
      </c>
      <c r="B13">
        <v>0.119252429127697</v>
      </c>
      <c r="J13">
        <v>1</v>
      </c>
      <c r="K13">
        <f>K12</f>
        <v>0.102333931777379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080AE-45CB-4F10-8143-11C3FB4CF8A7}">
  <dimension ref="A1:K18"/>
  <sheetViews>
    <sheetView tabSelected="1" workbookViewId="0">
      <selection activeCell="J3" sqref="J3:K15"/>
    </sheetView>
  </sheetViews>
  <sheetFormatPr defaultRowHeight="14.5" x14ac:dyDescent="0.35"/>
  <cols>
    <col min="8" max="8" width="9.81640625" bestFit="1" customWidth="1"/>
    <col min="11" max="11" width="9.81640625" bestFit="1" customWidth="1"/>
  </cols>
  <sheetData>
    <row r="1" spans="1:11" x14ac:dyDescent="0.35">
      <c r="A1" s="1" t="s">
        <v>0</v>
      </c>
      <c r="B1" s="1"/>
      <c r="D1" s="1" t="s">
        <v>3</v>
      </c>
      <c r="E1" s="1"/>
      <c r="G1" s="1" t="s">
        <v>6</v>
      </c>
      <c r="H1" s="1"/>
      <c r="J1" s="1" t="s">
        <v>5</v>
      </c>
      <c r="K1" s="1"/>
    </row>
    <row r="2" spans="1:11" x14ac:dyDescent="0.35">
      <c r="A2" t="s">
        <v>1</v>
      </c>
      <c r="B2" t="s">
        <v>2</v>
      </c>
      <c r="D2" t="s">
        <v>1</v>
      </c>
      <c r="E2" t="s">
        <v>2</v>
      </c>
      <c r="G2" t="s">
        <v>1</v>
      </c>
      <c r="H2" t="s">
        <v>2</v>
      </c>
      <c r="J2" t="s">
        <v>1</v>
      </c>
      <c r="K2" t="s">
        <v>2</v>
      </c>
    </row>
    <row r="3" spans="1:11" x14ac:dyDescent="0.35">
      <c r="A3">
        <v>0</v>
      </c>
      <c r="B3">
        <v>1</v>
      </c>
      <c r="D3">
        <v>0</v>
      </c>
      <c r="E3">
        <v>0</v>
      </c>
      <c r="G3">
        <v>0</v>
      </c>
      <c r="H3">
        <v>2.5</v>
      </c>
      <c r="J3">
        <v>0</v>
      </c>
      <c r="K3" s="2">
        <v>1</v>
      </c>
    </row>
    <row r="4" spans="1:11" x14ac:dyDescent="0.35">
      <c r="A4">
        <v>0.107496463932107</v>
      </c>
      <c r="B4">
        <v>1</v>
      </c>
      <c r="D4">
        <v>0.110903146730333</v>
      </c>
      <c r="E4">
        <v>0</v>
      </c>
      <c r="G4">
        <v>0.111094223565278</v>
      </c>
      <c r="H4">
        <v>2.5</v>
      </c>
      <c r="J4">
        <v>0.11391648896753</v>
      </c>
      <c r="K4" s="2">
        <v>1</v>
      </c>
    </row>
    <row r="5" spans="1:11" x14ac:dyDescent="0.35">
      <c r="A5">
        <v>0.198019801980197</v>
      </c>
      <c r="B5">
        <v>0.61552346570396999</v>
      </c>
      <c r="D5">
        <v>0.18986001704652899</v>
      </c>
      <c r="E5">
        <v>0.42019497888834001</v>
      </c>
      <c r="G5">
        <v>0.17889871346702299</v>
      </c>
      <c r="H5">
        <v>2.1491090826188399</v>
      </c>
      <c r="J5">
        <v>0.146643376737292</v>
      </c>
      <c r="K5">
        <v>0.75627240143369101</v>
      </c>
    </row>
    <row r="6" spans="1:11" x14ac:dyDescent="0.35">
      <c r="A6">
        <v>0.32390381895332299</v>
      </c>
      <c r="B6">
        <v>0.32129963898916902</v>
      </c>
      <c r="D6">
        <v>0.286993301745672</v>
      </c>
      <c r="E6">
        <v>0.77863976557337899</v>
      </c>
      <c r="G6">
        <v>0.264807645886044</v>
      </c>
      <c r="H6">
        <v>1.7861431726135599</v>
      </c>
      <c r="J6">
        <v>0.19630839496090599</v>
      </c>
      <c r="K6" s="2">
        <v>0.52688172043010695</v>
      </c>
    </row>
    <row r="7" spans="1:11" x14ac:dyDescent="0.35">
      <c r="A7">
        <v>0.45685997171145598</v>
      </c>
      <c r="B7">
        <v>0.167870036101082</v>
      </c>
      <c r="D7">
        <v>0.38827768648632699</v>
      </c>
      <c r="E7">
        <v>1.0807126136947001</v>
      </c>
      <c r="G7">
        <v>0.36196368382937999</v>
      </c>
      <c r="H7">
        <v>1.48093445744785</v>
      </c>
      <c r="J7">
        <v>0.26989096078520303</v>
      </c>
      <c r="K7" s="2">
        <v>0.29928315412186302</v>
      </c>
    </row>
    <row r="8" spans="1:11" x14ac:dyDescent="0.35">
      <c r="A8">
        <v>0.524752475247524</v>
      </c>
      <c r="B8">
        <v>0.25270758122743597</v>
      </c>
      <c r="D8">
        <v>0.45862041014833399</v>
      </c>
      <c r="E8">
        <v>1.2968193731102</v>
      </c>
      <c r="G8">
        <v>0.42306282465065098</v>
      </c>
      <c r="H8">
        <v>1.3082100294141299</v>
      </c>
      <c r="J8">
        <v>0.34813151248430901</v>
      </c>
      <c r="K8">
        <v>0.175627240143369</v>
      </c>
    </row>
    <row r="9" spans="1:11" x14ac:dyDescent="0.35">
      <c r="A9">
        <v>0.61103253182461004</v>
      </c>
      <c r="B9">
        <v>0.287003610108303</v>
      </c>
      <c r="D9">
        <v>0.46688576614814697</v>
      </c>
      <c r="E9">
        <v>1.14729773212386</v>
      </c>
      <c r="G9">
        <v>0.457814413818383</v>
      </c>
      <c r="H9">
        <v>1.23341051935163</v>
      </c>
      <c r="J9">
        <v>0.45605160080456097</v>
      </c>
      <c r="K9">
        <v>8.6021505376343996E-2</v>
      </c>
    </row>
    <row r="10" spans="1:11" x14ac:dyDescent="0.35">
      <c r="A10">
        <f>A9</f>
        <v>0.61103253182461004</v>
      </c>
      <c r="B10">
        <v>0.18231046931407899</v>
      </c>
      <c r="D10">
        <v>0.50733565696684702</v>
      </c>
      <c r="E10">
        <v>0.92437874735029602</v>
      </c>
      <c r="G10">
        <v>0.469133043066221</v>
      </c>
      <c r="H10">
        <v>1.3373219729819099</v>
      </c>
      <c r="J10">
        <v>0.50550489239750096</v>
      </c>
      <c r="K10">
        <v>0.13978494623655899</v>
      </c>
    </row>
    <row r="11" spans="1:11" x14ac:dyDescent="0.35">
      <c r="A11">
        <v>0.69731258840169696</v>
      </c>
      <c r="B11">
        <v>0.191335740072202</v>
      </c>
      <c r="D11">
        <v>0.58990079116528005</v>
      </c>
      <c r="E11">
        <v>0.74089570422552398</v>
      </c>
      <c r="G11">
        <v>0.50973169663212603</v>
      </c>
      <c r="H11">
        <v>1.4356331190601701</v>
      </c>
      <c r="J11">
        <v>0.59568531373349598</v>
      </c>
      <c r="K11">
        <v>0.17921146953405001</v>
      </c>
    </row>
    <row r="12" spans="1:11" x14ac:dyDescent="0.35">
      <c r="A12">
        <v>0.79066478076378999</v>
      </c>
      <c r="B12">
        <v>0.202166064981949</v>
      </c>
      <c r="D12">
        <v>0.68797237185013704</v>
      </c>
      <c r="E12">
        <v>0.63594754385059904</v>
      </c>
      <c r="G12">
        <v>0.56144334874073498</v>
      </c>
      <c r="H12">
        <v>1.5051622247454199</v>
      </c>
      <c r="J12">
        <v>0.68152533914069202</v>
      </c>
      <c r="K12">
        <v>0.18996415770609301</v>
      </c>
    </row>
    <row r="13" spans="1:11" x14ac:dyDescent="0.35">
      <c r="A13">
        <v>0.79632248939179595</v>
      </c>
      <c r="B13">
        <v>0.124548736462093</v>
      </c>
      <c r="D13">
        <v>0.78889322830313302</v>
      </c>
      <c r="E13">
        <v>0.57514645523075403</v>
      </c>
      <c r="G13">
        <v>0.608917220230485</v>
      </c>
      <c r="H13">
        <v>1.54005149708093</v>
      </c>
      <c r="J13">
        <v>0.78847753429215195</v>
      </c>
      <c r="K13">
        <v>0.204301075268817</v>
      </c>
    </row>
    <row r="14" spans="1:11" x14ac:dyDescent="0.35">
      <c r="A14">
        <v>1</v>
      </c>
      <c r="B14">
        <v>0.124548736462093</v>
      </c>
      <c r="D14">
        <v>0.79112597974557897</v>
      </c>
      <c r="E14">
        <v>0</v>
      </c>
      <c r="G14">
        <v>0.61311923898758103</v>
      </c>
      <c r="H14">
        <v>2.4516142010353001</v>
      </c>
      <c r="J14">
        <v>0.79228105197888699</v>
      </c>
      <c r="K14">
        <v>0.10573476702508899</v>
      </c>
    </row>
    <row r="15" spans="1:11" x14ac:dyDescent="0.35">
      <c r="D15">
        <v>1</v>
      </c>
      <c r="E15">
        <v>0</v>
      </c>
      <c r="G15">
        <v>0.66331995243672304</v>
      </c>
      <c r="H15">
        <v>2.4461345897667401</v>
      </c>
      <c r="J15">
        <v>1</v>
      </c>
      <c r="K15">
        <v>0.10573476702508899</v>
      </c>
    </row>
    <row r="16" spans="1:11" x14ac:dyDescent="0.35">
      <c r="G16">
        <v>0.79166927430241996</v>
      </c>
      <c r="H16">
        <v>2.4699519897005802</v>
      </c>
    </row>
    <row r="17" spans="7:8" x14ac:dyDescent="0.35">
      <c r="G17">
        <v>0.79234874967590796</v>
      </c>
      <c r="H17">
        <v>2</v>
      </c>
    </row>
    <row r="18" spans="7:8" x14ac:dyDescent="0.35">
      <c r="G18">
        <v>1</v>
      </c>
      <c r="H18">
        <v>2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Test1</vt:lpstr>
      <vt:lpstr>Test2</vt:lpstr>
      <vt:lpstr>Test3</vt:lpstr>
      <vt:lpstr>Test4</vt:lpstr>
      <vt:lpstr>Test5</vt:lpstr>
      <vt:lpstr>explosion1</vt:lpstr>
      <vt:lpstr>explosion2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Olusegun Owoeye</dc:creator>
  <cp:lastModifiedBy>Olusegun Owoeye</cp:lastModifiedBy>
  <dcterms:created xsi:type="dcterms:W3CDTF">2026-05-20T18:44:23Z</dcterms:created>
  <dcterms:modified xsi:type="dcterms:W3CDTF">2026-05-21T00:37:19Z</dcterms:modified>
</cp:coreProperties>
</file>