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oluse\diffuse_vs_GFM_MMS\data\bubble_collapse_validation\"/>
    </mc:Choice>
  </mc:AlternateContent>
  <xr:revisionPtr revIDLastSave="0" documentId="13_ncr:1_{8A330E16-10C1-4F05-A963-D010DB009C7C}" xr6:coauthVersionLast="47" xr6:coauthVersionMax="47" xr10:uidLastSave="{00000000-0000-0000-0000-000000000000}"/>
  <bookViews>
    <workbookView xWindow="38280" yWindow="-120" windowWidth="29040" windowHeight="15720" activeTab="1" xr2:uid="{EDC50580-E04D-44B0-82D6-6934DBA8A6C2}"/>
  </bookViews>
  <sheets>
    <sheet name="GFM" sheetId="1" r:id="rId1"/>
    <sheet name="DI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3" i="2" l="1"/>
  <c r="P23" i="2"/>
  <c r="M23" i="2"/>
  <c r="O23" i="2"/>
  <c r="V2" i="2" s="1"/>
  <c r="V4" i="2" s="1"/>
  <c r="S2" i="2"/>
  <c r="T2" i="2"/>
  <c r="T4" i="2" s="1"/>
  <c r="U2" i="2"/>
  <c r="U4" i="2" s="1"/>
  <c r="J21" i="2"/>
  <c r="I21" i="2"/>
  <c r="H21" i="2"/>
  <c r="G21" i="2" s="1"/>
  <c r="J20" i="2"/>
  <c r="I20" i="2"/>
  <c r="H20" i="2"/>
  <c r="G20" i="2" s="1"/>
  <c r="J19" i="2"/>
  <c r="I19" i="2"/>
  <c r="H19" i="2"/>
  <c r="G19" i="2"/>
  <c r="J18" i="2"/>
  <c r="I18" i="2"/>
  <c r="H18" i="2"/>
  <c r="G18" i="2" s="1"/>
  <c r="J17" i="2"/>
  <c r="I17" i="2"/>
  <c r="H17" i="2"/>
  <c r="G17" i="2"/>
  <c r="J16" i="2"/>
  <c r="I16" i="2"/>
  <c r="H16" i="2"/>
  <c r="G16" i="2" s="1"/>
  <c r="J15" i="2"/>
  <c r="I15" i="2"/>
  <c r="H15" i="2"/>
  <c r="G15" i="2"/>
  <c r="J14" i="2"/>
  <c r="I14" i="2"/>
  <c r="H14" i="2"/>
  <c r="G14" i="2" s="1"/>
  <c r="J13" i="2"/>
  <c r="I13" i="2"/>
  <c r="H13" i="2"/>
  <c r="G13" i="2"/>
  <c r="J12" i="2"/>
  <c r="I12" i="2"/>
  <c r="H12" i="2"/>
  <c r="G12" i="2" s="1"/>
  <c r="J11" i="2"/>
  <c r="I11" i="2"/>
  <c r="H11" i="2"/>
  <c r="G11" i="2"/>
  <c r="J10" i="2"/>
  <c r="I10" i="2"/>
  <c r="H10" i="2"/>
  <c r="G10" i="2" s="1"/>
  <c r="J9" i="2"/>
  <c r="I9" i="2"/>
  <c r="H9" i="2"/>
  <c r="G9" i="2"/>
  <c r="R8" i="2"/>
  <c r="J23" i="2" s="1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S4" i="2"/>
  <c r="J4" i="2"/>
  <c r="I4" i="2"/>
  <c r="H4" i="2"/>
  <c r="G4" i="2"/>
  <c r="J3" i="2"/>
  <c r="I3" i="2"/>
  <c r="H3" i="2"/>
  <c r="J2" i="2"/>
  <c r="I2" i="2"/>
  <c r="H2" i="2"/>
  <c r="T4" i="1"/>
  <c r="U4" i="1"/>
  <c r="V4" i="1"/>
  <c r="S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J4" i="1"/>
  <c r="J5" i="1"/>
  <c r="J6" i="1"/>
  <c r="J7" i="1"/>
  <c r="J8" i="1"/>
  <c r="J9" i="1"/>
  <c r="J10" i="1"/>
  <c r="J11" i="1"/>
  <c r="J12" i="1"/>
  <c r="J14" i="1"/>
  <c r="J15" i="1"/>
  <c r="J16" i="1"/>
  <c r="J17" i="1"/>
  <c r="J18" i="1"/>
  <c r="J19" i="1"/>
  <c r="J20" i="1"/>
  <c r="J21" i="1"/>
  <c r="J13" i="1"/>
  <c r="H2" i="1"/>
  <c r="I2" i="1"/>
  <c r="J2" i="1"/>
  <c r="H3" i="1"/>
  <c r="I3" i="1"/>
  <c r="J3" i="1"/>
  <c r="H4" i="1"/>
  <c r="H5" i="1"/>
  <c r="H6" i="1"/>
  <c r="H7" i="1"/>
  <c r="R8" i="1"/>
  <c r="I23" i="1" s="1"/>
  <c r="H12" i="1"/>
  <c r="H13" i="1"/>
  <c r="H14" i="1"/>
  <c r="H15" i="1"/>
  <c r="H16" i="1"/>
  <c r="H17" i="1"/>
  <c r="H18" i="1"/>
  <c r="H19" i="1"/>
  <c r="H20" i="1"/>
  <c r="H21" i="1"/>
  <c r="H8" i="1"/>
  <c r="H9" i="1"/>
  <c r="H10" i="1"/>
  <c r="H11" i="1"/>
  <c r="I23" i="2" l="1"/>
  <c r="J23" i="1"/>
</calcChain>
</file>

<file path=xl/sharedStrings.xml><?xml version="1.0" encoding="utf-8"?>
<sst xmlns="http://schemas.openxmlformats.org/spreadsheetml/2006/main" count="67" uniqueCount="19">
  <si>
    <t>Time / computer time</t>
  </si>
  <si>
    <t>Time / μ</t>
  </si>
  <si>
    <t>Vui</t>
  </si>
  <si>
    <t>Vj</t>
  </si>
  <si>
    <t>Vd</t>
  </si>
  <si>
    <t>Vt</t>
  </si>
  <si>
    <t>Sim</t>
  </si>
  <si>
    <t>Experiment</t>
  </si>
  <si>
    <t>% Diff</t>
  </si>
  <si>
    <t>Type</t>
  </si>
  <si>
    <t>Xui / mm</t>
  </si>
  <si>
    <t>Xj / mm</t>
  </si>
  <si>
    <t>Xt / mm</t>
  </si>
  <si>
    <t>Xui (Raw)</t>
  </si>
  <si>
    <t>Slope</t>
  </si>
  <si>
    <t>Conversion</t>
  </si>
  <si>
    <t>Xdi / mm</t>
  </si>
  <si>
    <t>Xdi / Raw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</si>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</sst>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0" fillId="0" borderId="0" xfId="0" applyFill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4171183560752"/>
                  <c:y val="-0.652199408907787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GFM!$M$4:$M$21</c:f>
              <c:numCache>
                <c:formatCode>General</c:formatCode>
                <c:ptCount val="18"/>
                <c:pt idx="0">
                  <c:v>127.38</c:v>
                </c:pt>
                <c:pt idx="1">
                  <c:v>131.62</c:v>
                </c:pt>
                <c:pt idx="2">
                  <c:v>136.58000000000001</c:v>
                </c:pt>
                <c:pt idx="3">
                  <c:v>141.58000000000001</c:v>
                </c:pt>
                <c:pt idx="4">
                  <c:v>146.29</c:v>
                </c:pt>
                <c:pt idx="5">
                  <c:v>149.88999999999999</c:v>
                </c:pt>
                <c:pt idx="6">
                  <c:v>152.85</c:v>
                </c:pt>
                <c:pt idx="7">
                  <c:v>154.78</c:v>
                </c:pt>
                <c:pt idx="8">
                  <c:v>157.22</c:v>
                </c:pt>
                <c:pt idx="9">
                  <c:v>159.41</c:v>
                </c:pt>
                <c:pt idx="10">
                  <c:v>160.57</c:v>
                </c:pt>
                <c:pt idx="11">
                  <c:v>162.24</c:v>
                </c:pt>
                <c:pt idx="12">
                  <c:v>164.69</c:v>
                </c:pt>
                <c:pt idx="13">
                  <c:v>166.23</c:v>
                </c:pt>
                <c:pt idx="14">
                  <c:v>167.9</c:v>
                </c:pt>
                <c:pt idx="15">
                  <c:v>168.77</c:v>
                </c:pt>
                <c:pt idx="16">
                  <c:v>170.61</c:v>
                </c:pt>
                <c:pt idx="17">
                  <c:v>175.62</c:v>
                </c:pt>
              </c:numCache>
            </c:numRef>
          </c:xVal>
          <c:yVal>
            <c:numRef>
              <c:f>GFM!$F$4:$F$21</c:f>
              <c:numCache>
                <c:formatCode>General</c:formatCode>
                <c:ptCount val="18"/>
                <c:pt idx="0">
                  <c:v>21.164999999999999</c:v>
                </c:pt>
                <c:pt idx="1">
                  <c:v>28.22</c:v>
                </c:pt>
                <c:pt idx="2">
                  <c:v>35.274999999999999</c:v>
                </c:pt>
                <c:pt idx="3">
                  <c:v>42.33</c:v>
                </c:pt>
                <c:pt idx="4">
                  <c:v>49.384999999999998</c:v>
                </c:pt>
                <c:pt idx="5">
                  <c:v>56.44</c:v>
                </c:pt>
                <c:pt idx="6">
                  <c:v>63.494999999999997</c:v>
                </c:pt>
                <c:pt idx="7">
                  <c:v>70.55</c:v>
                </c:pt>
                <c:pt idx="8">
                  <c:v>77.605000000000004</c:v>
                </c:pt>
                <c:pt idx="9">
                  <c:v>84.66</c:v>
                </c:pt>
                <c:pt idx="10">
                  <c:v>91.715000000000003</c:v>
                </c:pt>
                <c:pt idx="11">
                  <c:v>98.77</c:v>
                </c:pt>
                <c:pt idx="12">
                  <c:v>105.825</c:v>
                </c:pt>
                <c:pt idx="13">
                  <c:v>112.88</c:v>
                </c:pt>
                <c:pt idx="14">
                  <c:v>119.935</c:v>
                </c:pt>
                <c:pt idx="15">
                  <c:v>126.99</c:v>
                </c:pt>
                <c:pt idx="16">
                  <c:v>134.04499999999999</c:v>
                </c:pt>
                <c:pt idx="17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7E-4717-8DFB-EBCCC3066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08144"/>
        <c:axId val="1000935664"/>
      </c:scatterChart>
      <c:valAx>
        <c:axId val="11943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35664"/>
        <c:crosses val="autoZero"/>
        <c:crossBetween val="midCat"/>
      </c:valAx>
      <c:valAx>
        <c:axId val="1000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5995102398092"/>
                  <c:y val="-0.222358278994844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GFM!$O$4:$O$21</c:f>
              <c:numCache>
                <c:formatCode>General</c:formatCode>
                <c:ptCount val="18"/>
                <c:pt idx="0">
                  <c:v>138.56</c:v>
                </c:pt>
                <c:pt idx="1">
                  <c:v>161.72999999999999</c:v>
                </c:pt>
                <c:pt idx="2">
                  <c:v>175.55</c:v>
                </c:pt>
                <c:pt idx="3">
                  <c:v>177.88</c:v>
                </c:pt>
                <c:pt idx="4">
                  <c:v>181.03</c:v>
                </c:pt>
                <c:pt idx="5">
                  <c:v>184.24</c:v>
                </c:pt>
                <c:pt idx="6">
                  <c:v>187.98</c:v>
                </c:pt>
                <c:pt idx="7">
                  <c:v>192.09</c:v>
                </c:pt>
                <c:pt idx="8">
                  <c:v>196.09</c:v>
                </c:pt>
                <c:pt idx="9">
                  <c:v>200.71</c:v>
                </c:pt>
                <c:pt idx="10">
                  <c:v>204.57</c:v>
                </c:pt>
                <c:pt idx="11">
                  <c:v>208.43</c:v>
                </c:pt>
                <c:pt idx="12">
                  <c:v>211.9</c:v>
                </c:pt>
                <c:pt idx="13">
                  <c:v>214.61</c:v>
                </c:pt>
                <c:pt idx="14">
                  <c:v>218.08</c:v>
                </c:pt>
                <c:pt idx="15">
                  <c:v>221.61</c:v>
                </c:pt>
                <c:pt idx="16">
                  <c:v>225.54</c:v>
                </c:pt>
                <c:pt idx="17">
                  <c:v>229.28</c:v>
                </c:pt>
              </c:numCache>
            </c:numRef>
          </c:xVal>
          <c:yVal>
            <c:numRef>
              <c:f>GFM!$F$4:$F$21</c:f>
              <c:numCache>
                <c:formatCode>General</c:formatCode>
                <c:ptCount val="18"/>
                <c:pt idx="0">
                  <c:v>21.164999999999999</c:v>
                </c:pt>
                <c:pt idx="1">
                  <c:v>28.22</c:v>
                </c:pt>
                <c:pt idx="2">
                  <c:v>35.274999999999999</c:v>
                </c:pt>
                <c:pt idx="3">
                  <c:v>42.33</c:v>
                </c:pt>
                <c:pt idx="4">
                  <c:v>49.384999999999998</c:v>
                </c:pt>
                <c:pt idx="5">
                  <c:v>56.44</c:v>
                </c:pt>
                <c:pt idx="6">
                  <c:v>63.494999999999997</c:v>
                </c:pt>
                <c:pt idx="7">
                  <c:v>70.55</c:v>
                </c:pt>
                <c:pt idx="8">
                  <c:v>77.605000000000004</c:v>
                </c:pt>
                <c:pt idx="9">
                  <c:v>84.66</c:v>
                </c:pt>
                <c:pt idx="10">
                  <c:v>91.715000000000003</c:v>
                </c:pt>
                <c:pt idx="11">
                  <c:v>98.77</c:v>
                </c:pt>
                <c:pt idx="12">
                  <c:v>105.825</c:v>
                </c:pt>
                <c:pt idx="13">
                  <c:v>112.88</c:v>
                </c:pt>
                <c:pt idx="14">
                  <c:v>119.935</c:v>
                </c:pt>
                <c:pt idx="15">
                  <c:v>126.99</c:v>
                </c:pt>
                <c:pt idx="16">
                  <c:v>134.04499999999999</c:v>
                </c:pt>
                <c:pt idx="17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92-47A9-91AD-3C49A8AF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08144"/>
        <c:axId val="1000935664"/>
      </c:scatterChart>
      <c:valAx>
        <c:axId val="11943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35664"/>
        <c:crosses val="autoZero"/>
        <c:crossBetween val="midCat"/>
      </c:valAx>
      <c:valAx>
        <c:axId val="1000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Vui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4171183560752"/>
                  <c:y val="-0.652199408907787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DIM!$M$4:$M$21</c:f>
              <c:numCache>
                <c:formatCode>General</c:formatCode>
                <c:ptCount val="18"/>
                <c:pt idx="0">
                  <c:v>125.45</c:v>
                </c:pt>
                <c:pt idx="1">
                  <c:v>129.4</c:v>
                </c:pt>
                <c:pt idx="2">
                  <c:v>133.63999999999999</c:v>
                </c:pt>
                <c:pt idx="3">
                  <c:v>138.29</c:v>
                </c:pt>
                <c:pt idx="4">
                  <c:v>142.88</c:v>
                </c:pt>
                <c:pt idx="5">
                  <c:v>147.04</c:v>
                </c:pt>
                <c:pt idx="6">
                  <c:v>151.01</c:v>
                </c:pt>
                <c:pt idx="7">
                  <c:v>154.25</c:v>
                </c:pt>
                <c:pt idx="8">
                  <c:v>156.84</c:v>
                </c:pt>
                <c:pt idx="9">
                  <c:v>159.30000000000001</c:v>
                </c:pt>
                <c:pt idx="10">
                  <c:v>161.99</c:v>
                </c:pt>
                <c:pt idx="11">
                  <c:v>164.48</c:v>
                </c:pt>
                <c:pt idx="12">
                  <c:v>166.79</c:v>
                </c:pt>
                <c:pt idx="13">
                  <c:v>169.18</c:v>
                </c:pt>
                <c:pt idx="14">
                  <c:v>172.24</c:v>
                </c:pt>
                <c:pt idx="15">
                  <c:v>174.42</c:v>
                </c:pt>
                <c:pt idx="16">
                  <c:v>177.46</c:v>
                </c:pt>
                <c:pt idx="17">
                  <c:v>180.15</c:v>
                </c:pt>
              </c:numCache>
            </c:numRef>
          </c:xVal>
          <c:yVal>
            <c:numRef>
              <c:f>DIM!$F$4:$F$21</c:f>
              <c:numCache>
                <c:formatCode>General</c:formatCode>
                <c:ptCount val="18"/>
                <c:pt idx="0">
                  <c:v>21.164999999999999</c:v>
                </c:pt>
                <c:pt idx="1">
                  <c:v>28.22</c:v>
                </c:pt>
                <c:pt idx="2">
                  <c:v>35.274999999999999</c:v>
                </c:pt>
                <c:pt idx="3">
                  <c:v>42.33</c:v>
                </c:pt>
                <c:pt idx="4">
                  <c:v>49.384999999999998</c:v>
                </c:pt>
                <c:pt idx="5">
                  <c:v>56.44</c:v>
                </c:pt>
                <c:pt idx="6">
                  <c:v>63.494999999999997</c:v>
                </c:pt>
                <c:pt idx="7">
                  <c:v>70.55</c:v>
                </c:pt>
                <c:pt idx="8">
                  <c:v>77.605000000000004</c:v>
                </c:pt>
                <c:pt idx="9">
                  <c:v>84.66</c:v>
                </c:pt>
                <c:pt idx="10">
                  <c:v>91.715000000000003</c:v>
                </c:pt>
                <c:pt idx="11">
                  <c:v>98.77</c:v>
                </c:pt>
                <c:pt idx="12">
                  <c:v>105.825</c:v>
                </c:pt>
                <c:pt idx="13">
                  <c:v>112.88</c:v>
                </c:pt>
                <c:pt idx="14">
                  <c:v>119.935</c:v>
                </c:pt>
                <c:pt idx="15">
                  <c:v>126.99</c:v>
                </c:pt>
                <c:pt idx="16">
                  <c:v>134.04499999999999</c:v>
                </c:pt>
                <c:pt idx="17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F-440A-94F8-80271912F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08144"/>
        <c:axId val="1000935664"/>
      </c:scatterChart>
      <c:valAx>
        <c:axId val="11943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35664"/>
        <c:crosses val="autoZero"/>
        <c:crossBetween val="midCat"/>
      </c:valAx>
      <c:valAx>
        <c:axId val="1000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Vdi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5995102398092"/>
                  <c:y val="-0.222358278994844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DIM!$O$6:$O$21</c:f>
              <c:numCache>
                <c:formatCode>General</c:formatCode>
                <c:ptCount val="16"/>
                <c:pt idx="0">
                  <c:v>176.86</c:v>
                </c:pt>
                <c:pt idx="1">
                  <c:v>179.19</c:v>
                </c:pt>
                <c:pt idx="2">
                  <c:v>181.85</c:v>
                </c:pt>
                <c:pt idx="3">
                  <c:v>184.66</c:v>
                </c:pt>
                <c:pt idx="4">
                  <c:v>187.8</c:v>
                </c:pt>
                <c:pt idx="5">
                  <c:v>191.57</c:v>
                </c:pt>
                <c:pt idx="6">
                  <c:v>195.27</c:v>
                </c:pt>
                <c:pt idx="7">
                  <c:v>198.82</c:v>
                </c:pt>
                <c:pt idx="8">
                  <c:v>202.84</c:v>
                </c:pt>
                <c:pt idx="9">
                  <c:v>205.77</c:v>
                </c:pt>
                <c:pt idx="10">
                  <c:v>208.49</c:v>
                </c:pt>
                <c:pt idx="11">
                  <c:v>211.85</c:v>
                </c:pt>
                <c:pt idx="12">
                  <c:v>215.53</c:v>
                </c:pt>
                <c:pt idx="13">
                  <c:v>218.71</c:v>
                </c:pt>
                <c:pt idx="14">
                  <c:v>222.13</c:v>
                </c:pt>
                <c:pt idx="15">
                  <c:v>225.28</c:v>
                </c:pt>
              </c:numCache>
            </c:numRef>
          </c:xVal>
          <c:yVal>
            <c:numRef>
              <c:f>DIM!$F$6:$F$21</c:f>
              <c:numCache>
                <c:formatCode>General</c:formatCode>
                <c:ptCount val="16"/>
                <c:pt idx="0">
                  <c:v>35.274999999999999</c:v>
                </c:pt>
                <c:pt idx="1">
                  <c:v>42.33</c:v>
                </c:pt>
                <c:pt idx="2">
                  <c:v>49.384999999999998</c:v>
                </c:pt>
                <c:pt idx="3">
                  <c:v>56.44</c:v>
                </c:pt>
                <c:pt idx="4">
                  <c:v>63.494999999999997</c:v>
                </c:pt>
                <c:pt idx="5">
                  <c:v>70.55</c:v>
                </c:pt>
                <c:pt idx="6">
                  <c:v>77.605000000000004</c:v>
                </c:pt>
                <c:pt idx="7">
                  <c:v>84.66</c:v>
                </c:pt>
                <c:pt idx="8">
                  <c:v>91.715000000000003</c:v>
                </c:pt>
                <c:pt idx="9">
                  <c:v>98.77</c:v>
                </c:pt>
                <c:pt idx="10">
                  <c:v>105.825</c:v>
                </c:pt>
                <c:pt idx="11">
                  <c:v>112.88</c:v>
                </c:pt>
                <c:pt idx="12">
                  <c:v>119.935</c:v>
                </c:pt>
                <c:pt idx="13">
                  <c:v>126.99</c:v>
                </c:pt>
                <c:pt idx="14">
                  <c:v>134.04499999999999</c:v>
                </c:pt>
                <c:pt idx="15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E7-4C83-974B-C188C6162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08144"/>
        <c:axId val="1000935664"/>
      </c:scatterChart>
      <c:valAx>
        <c:axId val="11943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35664"/>
        <c:crosses val="autoZero"/>
        <c:crossBetween val="midCat"/>
      </c:valAx>
      <c:valAx>
        <c:axId val="1000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04171183560752"/>
                  <c:y val="-0.652199408907787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DIM!$N$9:$N$21</c:f>
              <c:numCache>
                <c:formatCode>General</c:formatCode>
                <c:ptCount val="13"/>
                <c:pt idx="0">
                  <c:v>147.32</c:v>
                </c:pt>
                <c:pt idx="1">
                  <c:v>153.19999999999999</c:v>
                </c:pt>
                <c:pt idx="2">
                  <c:v>157.22999999999999</c:v>
                </c:pt>
                <c:pt idx="3">
                  <c:v>162.97999999999999</c:v>
                </c:pt>
                <c:pt idx="4">
                  <c:v>167.88</c:v>
                </c:pt>
                <c:pt idx="5">
                  <c:v>173.95</c:v>
                </c:pt>
                <c:pt idx="6">
                  <c:v>179.2</c:v>
                </c:pt>
                <c:pt idx="7">
                  <c:v>185.19</c:v>
                </c:pt>
                <c:pt idx="8">
                  <c:v>190.58</c:v>
                </c:pt>
                <c:pt idx="9">
                  <c:v>195.11</c:v>
                </c:pt>
                <c:pt idx="10">
                  <c:v>199.91</c:v>
                </c:pt>
                <c:pt idx="11">
                  <c:v>204.78</c:v>
                </c:pt>
                <c:pt idx="12">
                  <c:v>209.28</c:v>
                </c:pt>
              </c:numCache>
            </c:numRef>
          </c:xVal>
          <c:yVal>
            <c:numRef>
              <c:f>DIM!$F$9:$F$21</c:f>
              <c:numCache>
                <c:formatCode>General</c:formatCode>
                <c:ptCount val="13"/>
                <c:pt idx="0">
                  <c:v>56.44</c:v>
                </c:pt>
                <c:pt idx="1">
                  <c:v>63.494999999999997</c:v>
                </c:pt>
                <c:pt idx="2">
                  <c:v>70.55</c:v>
                </c:pt>
                <c:pt idx="3">
                  <c:v>77.605000000000004</c:v>
                </c:pt>
                <c:pt idx="4">
                  <c:v>84.66</c:v>
                </c:pt>
                <c:pt idx="5">
                  <c:v>91.715000000000003</c:v>
                </c:pt>
                <c:pt idx="6">
                  <c:v>98.77</c:v>
                </c:pt>
                <c:pt idx="7">
                  <c:v>105.825</c:v>
                </c:pt>
                <c:pt idx="8">
                  <c:v>112.88</c:v>
                </c:pt>
                <c:pt idx="9">
                  <c:v>119.935</c:v>
                </c:pt>
                <c:pt idx="10">
                  <c:v>126.99</c:v>
                </c:pt>
                <c:pt idx="11">
                  <c:v>134.04499999999999</c:v>
                </c:pt>
                <c:pt idx="12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B7-40E3-8C81-1044DB852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08144"/>
        <c:axId val="1000935664"/>
      </c:scatterChart>
      <c:valAx>
        <c:axId val="11943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35664"/>
        <c:crosses val="autoZero"/>
        <c:crossBetween val="midCat"/>
      </c:valAx>
      <c:valAx>
        <c:axId val="1000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65995102398092"/>
                  <c:y val="-0.222358278994844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DIM!$P$8:$P$21</c:f>
              <c:numCache>
                <c:formatCode>General</c:formatCode>
                <c:ptCount val="14"/>
                <c:pt idx="0">
                  <c:v>173.64</c:v>
                </c:pt>
                <c:pt idx="1">
                  <c:v>187.67</c:v>
                </c:pt>
                <c:pt idx="2">
                  <c:v>198.89</c:v>
                </c:pt>
                <c:pt idx="3">
                  <c:v>210.37</c:v>
                </c:pt>
                <c:pt idx="4">
                  <c:v>222.12</c:v>
                </c:pt>
                <c:pt idx="5">
                  <c:v>233.16</c:v>
                </c:pt>
                <c:pt idx="6">
                  <c:v>244.73</c:v>
                </c:pt>
                <c:pt idx="7">
                  <c:v>255.24</c:v>
                </c:pt>
                <c:pt idx="8">
                  <c:v>265.72000000000003</c:v>
                </c:pt>
                <c:pt idx="9">
                  <c:v>276.06</c:v>
                </c:pt>
                <c:pt idx="10">
                  <c:v>286.2</c:v>
                </c:pt>
                <c:pt idx="11">
                  <c:v>296.79000000000002</c:v>
                </c:pt>
                <c:pt idx="12">
                  <c:v>307.10000000000002</c:v>
                </c:pt>
                <c:pt idx="13">
                  <c:v>317.2</c:v>
                </c:pt>
              </c:numCache>
            </c:numRef>
          </c:xVal>
          <c:yVal>
            <c:numRef>
              <c:f>DIM!$F$8:$F$21</c:f>
              <c:numCache>
                <c:formatCode>General</c:formatCode>
                <c:ptCount val="14"/>
                <c:pt idx="0">
                  <c:v>49.384999999999998</c:v>
                </c:pt>
                <c:pt idx="1">
                  <c:v>56.44</c:v>
                </c:pt>
                <c:pt idx="2">
                  <c:v>63.494999999999997</c:v>
                </c:pt>
                <c:pt idx="3">
                  <c:v>70.55</c:v>
                </c:pt>
                <c:pt idx="4">
                  <c:v>77.605000000000004</c:v>
                </c:pt>
                <c:pt idx="5">
                  <c:v>84.66</c:v>
                </c:pt>
                <c:pt idx="6">
                  <c:v>91.715000000000003</c:v>
                </c:pt>
                <c:pt idx="7">
                  <c:v>98.77</c:v>
                </c:pt>
                <c:pt idx="8">
                  <c:v>105.825</c:v>
                </c:pt>
                <c:pt idx="9">
                  <c:v>112.88</c:v>
                </c:pt>
                <c:pt idx="10">
                  <c:v>119.935</c:v>
                </c:pt>
                <c:pt idx="11">
                  <c:v>126.99</c:v>
                </c:pt>
                <c:pt idx="12">
                  <c:v>134.04499999999999</c:v>
                </c:pt>
                <c:pt idx="13">
                  <c:v>141.1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A-40E1-8509-E17D313B6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308144"/>
        <c:axId val="1000935664"/>
      </c:scatterChart>
      <c:valAx>
        <c:axId val="119430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935664"/>
        <c:crosses val="autoZero"/>
        <c:crossBetween val="midCat"/>
      </c:valAx>
      <c:valAx>
        <c:axId val="100093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30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171153</xdr:colOff>
      <xdr:row>7</xdr:row>
      <xdr:rowOff>171153</xdr:rowOff>
    </xdr:from>
    <xdr:to>
      <xdr:col>4</xdr:col>
      <xdr:colOff>336386</xdr:colOff>
      <xdr:row>27</xdr:row>
      <xdr:rowOff>103866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5FED9-B143-619E-8507-85249D896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153" y="1421309"/>
          <a:ext cx="2599664" cy="3504588"/>
        </a:xfrm>
        <a:prstGeom prst="rect">
          <a:avLst/>
        </a:prstGeom>
      </xdr:spPr>
    </xdr:pic>
    <xdr:clientData/>
  </xdr:twoCellAnchor>
  <xdr:twoCellAnchor>
    <xdr:from>
      <xdr:col>4</xdr:col>
      <xdr:colOff>295176</xdr:colOff>
      <xdr:row>24</xdr:row>
      <xdr:rowOff>131564</xdr:rowOff>
    </xdr:from>
    <xdr:to>
      <xdr:col>9</xdr:col>
      <xdr:colOff>220067</xdr:colOff>
      <xdr:row>35</xdr:row>
      <xdr:rowOff>160536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D5FE39-4DF5-A92E-748F-4292950FF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223242</xdr:colOff>
      <xdr:row>24</xdr:row>
      <xdr:rowOff>133945</xdr:rowOff>
    </xdr:from>
    <xdr:to>
      <xdr:col>15</xdr:col>
      <xdr:colOff>163016</xdr:colOff>
      <xdr:row>35</xdr:row>
      <xdr:rowOff>159742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188828-B7D6-46D9-8FD4-5EBC9475C5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171153</xdr:colOff>
      <xdr:row>7</xdr:row>
      <xdr:rowOff>171153</xdr:rowOff>
    </xdr:from>
    <xdr:to>
      <xdr:col>4</xdr:col>
      <xdr:colOff>336386</xdr:colOff>
      <xdr:row>27</xdr:row>
      <xdr:rowOff>103866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553B59-6593-4984-8D4E-80D5DB24C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153" y="1460203"/>
          <a:ext cx="2603633" cy="3615713"/>
        </a:xfrm>
        <a:prstGeom prst="rect">
          <a:avLst/>
        </a:prstGeom>
      </xdr:spPr>
    </xdr:pic>
    <xdr:clientData/>
  </xdr:twoCellAnchor>
  <xdr:twoCellAnchor>
    <xdr:from>
      <xdr:col>4</xdr:col>
      <xdr:colOff>295176</xdr:colOff>
      <xdr:row>24</xdr:row>
      <xdr:rowOff>131564</xdr:rowOff>
    </xdr:from>
    <xdr:to>
      <xdr:col>9</xdr:col>
      <xdr:colOff>220067</xdr:colOff>
      <xdr:row>35</xdr:row>
      <xdr:rowOff>160536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3DFD57-021E-49A3-B544-E09CC53BB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223242</xdr:colOff>
      <xdr:row>24</xdr:row>
      <xdr:rowOff>133945</xdr:rowOff>
    </xdr:from>
    <xdr:to>
      <xdr:col>15</xdr:col>
      <xdr:colOff>163016</xdr:colOff>
      <xdr:row>35</xdr:row>
      <xdr:rowOff>159742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EFAAA1-5690-4B34-8B67-80C85B911C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285101</xdr:colOff>
      <xdr:row>35</xdr:row>
      <xdr:rowOff>168469</xdr:rowOff>
    </xdr:from>
    <xdr:to>
      <xdr:col>9</xdr:col>
      <xdr:colOff>209992</xdr:colOff>
      <xdr:row>47</xdr:row>
      <xdr:rowOff>16012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AA39F2D-8730-468C-B340-6AA329997A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207347</xdr:colOff>
      <xdr:row>35</xdr:row>
      <xdr:rowOff>161989</xdr:rowOff>
    </xdr:from>
    <xdr:to>
      <xdr:col>15</xdr:col>
      <xdr:colOff>147121</xdr:colOff>
      <xdr:row>47</xdr:row>
      <xdr:rowOff>6357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FD8ADF-37D4-4AAD-B057-C7DE93A4D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8C8B47-8A65-4673-8493-4CF0EB8B8C16}" name="Table1" displayName="Table1" ref="R1:V4" totalsRowShown="0">
  <autoFilter ref="R1:V4" xr:uid="{E18C8B47-8A65-4673-8493-4CF0EB8B8C16}"/>
  <tableColumns count="5">
    <tableColumn id="1" xr3:uid="{F5AB9B2B-EC51-49B8-990C-D55AF97ACBBD}" name="Type"/>
    <tableColumn id="2" xr3:uid="{79C2E05D-8B65-4483-AF0F-0FFB13D7D546}" name="Vui"/>
    <tableColumn id="3" xr3:uid="{92670F37-58A9-4BC9-9314-4EA3C45D7106}" name="Vj"/>
    <tableColumn id="4" xr3:uid="{7FC60497-9A50-4F0F-96E5-7773D457B79B}" name="Vt"/>
    <tableColumn id="5" xr3:uid="{FEBDEFC0-2B72-4E56-A277-C73470ED70EA}" name="Vd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E7028B-5D20-45FD-B5AF-4640807C9BC0}" name="Table13" displayName="Table13" ref="R1:V4" totalsRowShown="0">
  <autoFilter ref="R1:V4" xr:uid="{E18C8B47-8A65-4673-8493-4CF0EB8B8C16}"/>
  <tableColumns count="5">
    <tableColumn id="1" xr3:uid="{BAF7F9AE-1D9A-4570-A37D-98DCD567D682}" name="Type"/>
    <tableColumn id="2" xr3:uid="{D8BFEBE9-10C4-455E-9B13-566BC81C4CD0}" name="Vui"/>
    <tableColumn id="3" xr3:uid="{1D492B66-F841-4386-B3D8-022C267D6036}" name="Vj"/>
    <tableColumn id="4" xr3:uid="{405BC8B1-A31E-4B50-B514-37644BBCE4BC}" name="Vt"/>
    <tableColumn id="5" xr3:uid="{7ADAE4D3-487C-4E6A-B9A1-6934346A633C}" name="V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322E-624E-467F-84BA-DE36E5FD4469}">
  <dimension ref="F1:V23"/>
  <sheetViews>
    <sheetView topLeftCell="L1" zoomScale="128" workbookViewId="0">
      <pane ySplit="1" topLeftCell="A2" activePane="bottomLeft" state="frozen"/>
      <selection activeCell="G1" sqref="G1"/>
      <selection pane="bottomLeft" activeCell="U9" sqref="U9"/>
    </sheetView>
  </sheetViews>
  <sheetFormatPr defaultRowHeight="14.5" x14ac:dyDescent="0.35"/>
  <cols>
    <col min="6" max="6" width="17.7265625" customWidth="1"/>
    <col min="18" max="22" width="10" customWidth="1"/>
  </cols>
  <sheetData>
    <row r="1" spans="6:22" x14ac:dyDescent="0.35">
      <c r="F1" t="s">
        <v>0</v>
      </c>
      <c r="H1" t="s">
        <v>1</v>
      </c>
      <c r="I1" t="s">
        <v>10</v>
      </c>
      <c r="J1" t="s">
        <v>16</v>
      </c>
      <c r="L1" t="s">
        <v>0</v>
      </c>
      <c r="M1" t="s">
        <v>13</v>
      </c>
      <c r="N1" t="s">
        <v>11</v>
      </c>
      <c r="O1" t="s">
        <v>17</v>
      </c>
      <c r="P1" t="s">
        <v>12</v>
      </c>
      <c r="R1" t="s">
        <v>9</v>
      </c>
      <c r="S1" t="s">
        <v>2</v>
      </c>
      <c r="T1" t="s">
        <v>3</v>
      </c>
      <c r="U1" t="s">
        <v>5</v>
      </c>
      <c r="V1" t="s">
        <v>4</v>
      </c>
    </row>
    <row r="2" spans="6:22" x14ac:dyDescent="0.35">
      <c r="F2">
        <v>7.0549999999999997</v>
      </c>
      <c r="H2">
        <f t="shared" ref="H2:H21" si="0">(F2-(25/(1.22*SQRT(1.4))))*SQRT(1.4)/0.343</f>
        <v>-35.405873774737515</v>
      </c>
      <c r="I2" t="e">
        <f t="shared" ref="I2:I21" si="1">200-M2</f>
        <v>#VALUE!</v>
      </c>
      <c r="J2" t="e">
        <f>150-O2</f>
        <v>#VALUE!</v>
      </c>
      <c r="L2">
        <v>7.0549999999999997</v>
      </c>
      <c r="M2" t="s">
        <v>18</v>
      </c>
      <c r="N2" t="s">
        <v>18</v>
      </c>
      <c r="O2" t="s">
        <v>18</v>
      </c>
      <c r="P2" t="s">
        <v>18</v>
      </c>
      <c r="R2" t="s">
        <v>6</v>
      </c>
      <c r="S2" s="3">
        <v>104</v>
      </c>
      <c r="T2" s="3"/>
      <c r="U2" s="3"/>
      <c r="V2" s="3">
        <v>176</v>
      </c>
    </row>
    <row r="3" spans="6:22" x14ac:dyDescent="0.35">
      <c r="F3">
        <v>14.11</v>
      </c>
      <c r="H3">
        <f t="shared" si="0"/>
        <v>-11.068880847759214</v>
      </c>
      <c r="I3" t="e">
        <f t="shared" si="1"/>
        <v>#VALUE!</v>
      </c>
      <c r="J3" t="e">
        <f t="shared" ref="J3:J21" si="2">150-O3</f>
        <v>#VALUE!</v>
      </c>
      <c r="L3">
        <v>14.11</v>
      </c>
      <c r="M3" t="s">
        <v>18</v>
      </c>
      <c r="N3" t="s">
        <v>18</v>
      </c>
      <c r="O3" t="s">
        <v>18</v>
      </c>
      <c r="P3" t="s">
        <v>18</v>
      </c>
      <c r="R3" t="s">
        <v>7</v>
      </c>
      <c r="S3">
        <v>170</v>
      </c>
      <c r="T3">
        <v>230</v>
      </c>
      <c r="U3">
        <v>393</v>
      </c>
      <c r="V3">
        <v>145</v>
      </c>
    </row>
    <row r="4" spans="6:22" x14ac:dyDescent="0.35">
      <c r="F4">
        <v>21.164999999999999</v>
      </c>
      <c r="G4">
        <f t="shared" ref="G4:G19" si="3">H4/F4</f>
        <v>0.62688930211287919</v>
      </c>
      <c r="H4">
        <f t="shared" si="0"/>
        <v>13.268112079219087</v>
      </c>
      <c r="I4">
        <f t="shared" si="1"/>
        <v>72.62</v>
      </c>
      <c r="J4">
        <f t="shared" ref="J4:J12" si="4">ABS(150-O4)</f>
        <v>11.439999999999998</v>
      </c>
      <c r="L4">
        <v>21.164999999999999</v>
      </c>
      <c r="M4">
        <v>127.38</v>
      </c>
      <c r="N4" t="s">
        <v>18</v>
      </c>
      <c r="O4">
        <v>138.56</v>
      </c>
      <c r="P4" t="s">
        <v>18</v>
      </c>
      <c r="R4" t="s">
        <v>8</v>
      </c>
      <c r="S4" s="1">
        <f>((S2-S3)/S2)*100</f>
        <v>-63.46153846153846</v>
      </c>
      <c r="T4" s="1" t="e">
        <f t="shared" ref="T4:V4" si="5">((T2-T3)/T2)*100</f>
        <v>#DIV/0!</v>
      </c>
      <c r="U4" s="1" t="e">
        <f t="shared" si="5"/>
        <v>#DIV/0!</v>
      </c>
      <c r="V4" s="1">
        <f t="shared" si="5"/>
        <v>17.613636363636363</v>
      </c>
    </row>
    <row r="5" spans="6:22" x14ac:dyDescent="0.35">
      <c r="F5">
        <v>28.22</v>
      </c>
      <c r="G5">
        <f t="shared" si="3"/>
        <v>1.3325692773280435</v>
      </c>
      <c r="H5">
        <f t="shared" si="0"/>
        <v>37.605105006197384</v>
      </c>
      <c r="I5">
        <f t="shared" si="1"/>
        <v>68.38</v>
      </c>
      <c r="J5">
        <f t="shared" si="4"/>
        <v>11.72999999999999</v>
      </c>
      <c r="L5">
        <v>28.22</v>
      </c>
      <c r="M5">
        <v>131.62</v>
      </c>
      <c r="N5">
        <v>130.46</v>
      </c>
      <c r="O5">
        <v>161.72999999999999</v>
      </c>
      <c r="P5" t="s">
        <v>18</v>
      </c>
    </row>
    <row r="6" spans="6:22" x14ac:dyDescent="0.35">
      <c r="F6">
        <v>35.274999999999999</v>
      </c>
      <c r="G6">
        <f t="shared" si="3"/>
        <v>1.7559772624571421</v>
      </c>
      <c r="H6">
        <f t="shared" si="0"/>
        <v>61.942097933175688</v>
      </c>
      <c r="I6">
        <f t="shared" si="1"/>
        <v>63.419999999999987</v>
      </c>
      <c r="J6">
        <f t="shared" si="4"/>
        <v>25.550000000000011</v>
      </c>
      <c r="L6">
        <v>35.274999999999999</v>
      </c>
      <c r="M6" s="2">
        <v>136.58000000000001</v>
      </c>
      <c r="N6" s="2">
        <v>136.58000000000001</v>
      </c>
      <c r="O6" s="2">
        <v>175.55</v>
      </c>
      <c r="P6" s="2" t="s">
        <v>18</v>
      </c>
    </row>
    <row r="7" spans="6:22" x14ac:dyDescent="0.35">
      <c r="F7">
        <v>42.33</v>
      </c>
      <c r="G7">
        <f t="shared" si="3"/>
        <v>2.0382492525432077</v>
      </c>
      <c r="H7">
        <f t="shared" si="0"/>
        <v>86.279090860153985</v>
      </c>
      <c r="I7">
        <f t="shared" si="1"/>
        <v>58.419999999999987</v>
      </c>
      <c r="J7">
        <f t="shared" si="4"/>
        <v>27.879999999999995</v>
      </c>
      <c r="L7">
        <v>42.33</v>
      </c>
      <c r="M7">
        <v>141.58000000000001</v>
      </c>
      <c r="N7">
        <v>141.97999999999999</v>
      </c>
      <c r="O7">
        <v>177.88</v>
      </c>
      <c r="P7">
        <v>161.6</v>
      </c>
      <c r="R7" t="s">
        <v>15</v>
      </c>
    </row>
    <row r="8" spans="6:22" x14ac:dyDescent="0.35">
      <c r="F8">
        <v>49.384999999999998</v>
      </c>
      <c r="G8">
        <f t="shared" si="3"/>
        <v>2.2398721026046835</v>
      </c>
      <c r="H8">
        <f t="shared" si="0"/>
        <v>110.6160837871323</v>
      </c>
      <c r="I8">
        <f t="shared" si="1"/>
        <v>53.710000000000008</v>
      </c>
      <c r="J8">
        <f t="shared" si="4"/>
        <v>31.03</v>
      </c>
      <c r="L8">
        <v>49.384999999999998</v>
      </c>
      <c r="M8">
        <v>146.29</v>
      </c>
      <c r="N8">
        <v>147.06</v>
      </c>
      <c r="O8">
        <v>181.03</v>
      </c>
      <c r="P8">
        <v>175.62</v>
      </c>
      <c r="R8">
        <f>(1*10^-3)/(3.4715*10^-6)</f>
        <v>288.05991646262424</v>
      </c>
    </row>
    <row r="9" spans="6:22" x14ac:dyDescent="0.35">
      <c r="F9">
        <v>56.44</v>
      </c>
      <c r="G9">
        <f t="shared" si="3"/>
        <v>2.3910892401507904</v>
      </c>
      <c r="H9">
        <f t="shared" si="0"/>
        <v>134.95307671411061</v>
      </c>
      <c r="I9">
        <f t="shared" si="1"/>
        <v>50.110000000000014</v>
      </c>
      <c r="J9">
        <f t="shared" si="4"/>
        <v>34.240000000000009</v>
      </c>
      <c r="L9">
        <v>56.44</v>
      </c>
      <c r="M9">
        <v>149.88999999999999</v>
      </c>
      <c r="N9">
        <v>152.08000000000001</v>
      </c>
      <c r="O9">
        <v>184.24</v>
      </c>
      <c r="P9">
        <v>189.13</v>
      </c>
    </row>
    <row r="10" spans="6:22" x14ac:dyDescent="0.35">
      <c r="F10">
        <v>63.494999999999997</v>
      </c>
      <c r="G10">
        <f t="shared" si="3"/>
        <v>2.5087025693533174</v>
      </c>
      <c r="H10">
        <f t="shared" si="0"/>
        <v>159.29006964108888</v>
      </c>
      <c r="I10">
        <f t="shared" si="1"/>
        <v>47.150000000000006</v>
      </c>
      <c r="J10">
        <f t="shared" si="4"/>
        <v>37.97999999999999</v>
      </c>
      <c r="L10">
        <v>63.494999999999997</v>
      </c>
      <c r="M10">
        <v>152.85</v>
      </c>
      <c r="N10">
        <v>157.1</v>
      </c>
      <c r="O10">
        <v>187.98</v>
      </c>
      <c r="P10">
        <v>201.1</v>
      </c>
    </row>
    <row r="11" spans="6:22" x14ac:dyDescent="0.35">
      <c r="F11">
        <v>70.55</v>
      </c>
      <c r="G11">
        <f t="shared" si="3"/>
        <v>2.6027932327153391</v>
      </c>
      <c r="H11">
        <f t="shared" si="0"/>
        <v>183.62706256806717</v>
      </c>
      <c r="I11">
        <f t="shared" si="1"/>
        <v>45.22</v>
      </c>
      <c r="J11">
        <f t="shared" si="4"/>
        <v>42.09</v>
      </c>
      <c r="L11">
        <v>70.55</v>
      </c>
      <c r="M11">
        <v>154.78</v>
      </c>
      <c r="N11">
        <v>162.11000000000001</v>
      </c>
      <c r="O11">
        <v>192.09</v>
      </c>
      <c r="P11">
        <v>211.13</v>
      </c>
    </row>
    <row r="12" spans="6:22" x14ac:dyDescent="0.35">
      <c r="F12">
        <v>77.605000000000004</v>
      </c>
      <c r="G12">
        <f t="shared" si="3"/>
        <v>2.6797765027388123</v>
      </c>
      <c r="H12">
        <f t="shared" si="0"/>
        <v>207.96405549504553</v>
      </c>
      <c r="I12">
        <f t="shared" si="1"/>
        <v>42.78</v>
      </c>
      <c r="J12">
        <f t="shared" si="4"/>
        <v>46.09</v>
      </c>
      <c r="L12">
        <v>77.605000000000004</v>
      </c>
      <c r="M12">
        <v>157.22</v>
      </c>
      <c r="N12">
        <v>167.13</v>
      </c>
      <c r="O12">
        <v>196.09</v>
      </c>
      <c r="P12">
        <v>223.1</v>
      </c>
    </row>
    <row r="13" spans="6:22" x14ac:dyDescent="0.35">
      <c r="F13">
        <v>84.66</v>
      </c>
      <c r="G13">
        <f t="shared" si="3"/>
        <v>2.7439292277583718</v>
      </c>
      <c r="H13">
        <f t="shared" si="0"/>
        <v>232.30104842202374</v>
      </c>
      <c r="I13">
        <f t="shared" si="1"/>
        <v>40.590000000000003</v>
      </c>
      <c r="J13">
        <f>ABS(150-O13)</f>
        <v>50.710000000000008</v>
      </c>
      <c r="L13">
        <v>84.66</v>
      </c>
      <c r="M13">
        <v>159.41</v>
      </c>
      <c r="N13">
        <v>172.15</v>
      </c>
      <c r="O13">
        <v>200.71</v>
      </c>
      <c r="P13">
        <v>234.68</v>
      </c>
    </row>
    <row r="14" spans="6:22" x14ac:dyDescent="0.35">
      <c r="F14">
        <v>91.715000000000003</v>
      </c>
      <c r="G14">
        <f t="shared" si="3"/>
        <v>2.7982123027749233</v>
      </c>
      <c r="H14">
        <f t="shared" si="0"/>
        <v>256.63804134900209</v>
      </c>
      <c r="I14">
        <f t="shared" si="1"/>
        <v>39.430000000000007</v>
      </c>
      <c r="J14">
        <f t="shared" ref="J14:J21" si="6">ABS(150-O14)</f>
        <v>54.569999999999993</v>
      </c>
      <c r="L14">
        <v>91.715000000000003</v>
      </c>
      <c r="M14">
        <v>160.57</v>
      </c>
      <c r="N14">
        <v>177.17</v>
      </c>
      <c r="O14">
        <v>204.57</v>
      </c>
      <c r="P14">
        <v>245.87</v>
      </c>
    </row>
    <row r="15" spans="6:22" x14ac:dyDescent="0.35">
      <c r="F15">
        <v>98.77</v>
      </c>
      <c r="G15">
        <f t="shared" si="3"/>
        <v>2.8447406527891101</v>
      </c>
      <c r="H15">
        <f t="shared" si="0"/>
        <v>280.97503427598042</v>
      </c>
      <c r="I15">
        <f t="shared" si="1"/>
        <v>37.759999999999991</v>
      </c>
      <c r="J15">
        <f t="shared" si="6"/>
        <v>58.430000000000007</v>
      </c>
      <c r="L15">
        <v>98.77</v>
      </c>
      <c r="M15">
        <v>162.24</v>
      </c>
      <c r="N15">
        <v>182.19</v>
      </c>
      <c r="O15">
        <v>208.43</v>
      </c>
      <c r="P15">
        <v>256.68</v>
      </c>
    </row>
    <row r="16" spans="6:22" x14ac:dyDescent="0.35">
      <c r="F16">
        <v>105.825</v>
      </c>
      <c r="G16">
        <f t="shared" si="3"/>
        <v>2.8850652228014053</v>
      </c>
      <c r="H16">
        <f t="shared" si="0"/>
        <v>305.31202720295875</v>
      </c>
      <c r="I16">
        <f t="shared" si="1"/>
        <v>35.31</v>
      </c>
      <c r="J16">
        <f t="shared" si="6"/>
        <v>61.900000000000006</v>
      </c>
      <c r="L16">
        <v>105.825</v>
      </c>
      <c r="M16">
        <v>164.69</v>
      </c>
      <c r="N16">
        <v>186.94</v>
      </c>
      <c r="O16">
        <v>211.9</v>
      </c>
      <c r="P16">
        <v>267.49</v>
      </c>
    </row>
    <row r="17" spans="6:16" x14ac:dyDescent="0.35">
      <c r="F17">
        <v>112.88</v>
      </c>
      <c r="G17">
        <f t="shared" si="3"/>
        <v>2.9203492215621631</v>
      </c>
      <c r="H17">
        <f t="shared" si="0"/>
        <v>329.64902012993696</v>
      </c>
      <c r="I17">
        <f t="shared" si="1"/>
        <v>33.77000000000001</v>
      </c>
      <c r="J17">
        <f t="shared" si="6"/>
        <v>64.610000000000014</v>
      </c>
      <c r="L17">
        <v>112.88</v>
      </c>
      <c r="M17">
        <v>166.23</v>
      </c>
      <c r="N17">
        <v>191.32</v>
      </c>
      <c r="O17">
        <v>214.61</v>
      </c>
      <c r="P17">
        <v>277.91000000000003</v>
      </c>
    </row>
    <row r="18" spans="6:16" x14ac:dyDescent="0.35">
      <c r="F18">
        <v>119.935</v>
      </c>
      <c r="G18">
        <f t="shared" si="3"/>
        <v>2.9514821616451852</v>
      </c>
      <c r="H18">
        <f t="shared" si="0"/>
        <v>353.98601305691528</v>
      </c>
      <c r="I18">
        <f t="shared" si="1"/>
        <v>32.099999999999994</v>
      </c>
      <c r="J18">
        <f t="shared" si="6"/>
        <v>68.080000000000013</v>
      </c>
      <c r="L18">
        <v>119.935</v>
      </c>
      <c r="M18">
        <v>167.9</v>
      </c>
      <c r="N18">
        <v>195.05</v>
      </c>
      <c r="O18">
        <v>218.08</v>
      </c>
      <c r="P18">
        <v>288.33</v>
      </c>
    </row>
    <row r="19" spans="6:16" x14ac:dyDescent="0.35">
      <c r="F19">
        <v>126.99</v>
      </c>
      <c r="G19">
        <f t="shared" si="3"/>
        <v>2.9791558861634271</v>
      </c>
      <c r="H19">
        <f t="shared" si="0"/>
        <v>378.32300598389361</v>
      </c>
      <c r="I19">
        <f t="shared" si="1"/>
        <v>31.22999999999999</v>
      </c>
      <c r="J19">
        <f t="shared" si="6"/>
        <v>71.610000000000014</v>
      </c>
      <c r="L19">
        <v>126.99</v>
      </c>
      <c r="M19">
        <v>168.77</v>
      </c>
      <c r="N19">
        <v>198.46</v>
      </c>
      <c r="O19">
        <v>221.61</v>
      </c>
      <c r="P19">
        <v>298.88</v>
      </c>
    </row>
    <row r="20" spans="6:16" x14ac:dyDescent="0.35">
      <c r="F20">
        <v>134.04499999999999</v>
      </c>
      <c r="G20">
        <f>H20/F20</f>
        <v>3.0039165870481699</v>
      </c>
      <c r="H20">
        <f t="shared" si="0"/>
        <v>402.65999891087188</v>
      </c>
      <c r="I20">
        <f t="shared" si="1"/>
        <v>29.389999999999986</v>
      </c>
      <c r="J20">
        <f t="shared" si="6"/>
        <v>75.539999999999992</v>
      </c>
      <c r="L20">
        <v>134.04499999999999</v>
      </c>
      <c r="M20">
        <v>170.61</v>
      </c>
      <c r="N20">
        <v>201.87</v>
      </c>
      <c r="O20">
        <v>225.54</v>
      </c>
      <c r="P20">
        <v>309.17</v>
      </c>
    </row>
    <row r="21" spans="6:16" x14ac:dyDescent="0.35">
      <c r="F21">
        <v>141.1</v>
      </c>
      <c r="G21">
        <f>H21/F21</f>
        <v>3.026201217844438</v>
      </c>
      <c r="H21">
        <f t="shared" si="0"/>
        <v>426.9969918378502</v>
      </c>
      <c r="I21">
        <f t="shared" si="1"/>
        <v>24.379999999999995</v>
      </c>
      <c r="J21">
        <f t="shared" si="6"/>
        <v>79.28</v>
      </c>
      <c r="L21">
        <v>141.1</v>
      </c>
      <c r="M21">
        <v>175.62</v>
      </c>
      <c r="N21">
        <v>204.83</v>
      </c>
      <c r="O21">
        <v>229.28</v>
      </c>
      <c r="P21">
        <v>319.60000000000002</v>
      </c>
    </row>
    <row r="23" spans="6:16" x14ac:dyDescent="0.35">
      <c r="H23" t="s">
        <v>14</v>
      </c>
      <c r="I23">
        <f>1.8531^-1*$R$8</f>
        <v>155.44758321872769</v>
      </c>
      <c r="J23">
        <f>2.4716^-1*$R$8</f>
        <v>116.5479513119535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9525-E6A4-4119-8E86-51070D62DA11}">
  <dimension ref="F1:V23"/>
  <sheetViews>
    <sheetView tabSelected="1" topLeftCell="J1" zoomScale="98" workbookViewId="0">
      <pane ySplit="1" topLeftCell="A2" activePane="bottomLeft" state="frozen"/>
      <selection activeCell="G1" sqref="G1"/>
      <selection pane="bottomLeft" activeCell="S29" sqref="S29"/>
    </sheetView>
  </sheetViews>
  <sheetFormatPr defaultRowHeight="14.5" x14ac:dyDescent="0.35"/>
  <cols>
    <col min="6" max="6" width="17.7265625" customWidth="1"/>
    <col min="18" max="22" width="10" customWidth="1"/>
  </cols>
  <sheetData>
    <row r="1" spans="6:22" x14ac:dyDescent="0.35">
      <c r="F1" t="s">
        <v>0</v>
      </c>
      <c r="H1" t="s">
        <v>1</v>
      </c>
      <c r="I1" t="s">
        <v>10</v>
      </c>
      <c r="J1" t="s">
        <v>16</v>
      </c>
      <c r="L1" t="s">
        <v>0</v>
      </c>
      <c r="M1" t="s">
        <v>13</v>
      </c>
      <c r="N1" t="s">
        <v>11</v>
      </c>
      <c r="O1" t="s">
        <v>17</v>
      </c>
      <c r="P1" t="s">
        <v>12</v>
      </c>
      <c r="R1" t="s">
        <v>9</v>
      </c>
      <c r="S1" t="s">
        <v>2</v>
      </c>
      <c r="T1" t="s">
        <v>3</v>
      </c>
      <c r="U1" t="s">
        <v>5</v>
      </c>
      <c r="V1" t="s">
        <v>4</v>
      </c>
    </row>
    <row r="2" spans="6:22" x14ac:dyDescent="0.35">
      <c r="F2">
        <v>7.0549999999999997</v>
      </c>
      <c r="H2">
        <f t="shared" ref="H2:H21" si="0">(F2-(25/(1.22*SQRT(1.4))))*SQRT(1.4)/0.343</f>
        <v>-35.405873774737515</v>
      </c>
      <c r="I2" t="e">
        <f t="shared" ref="I2:I21" si="1">200-M2</f>
        <v>#VALUE!</v>
      </c>
      <c r="J2" t="e">
        <f>150-O2</f>
        <v>#VALUE!</v>
      </c>
      <c r="L2">
        <v>7.0549999999999997</v>
      </c>
      <c r="M2" t="s">
        <v>18</v>
      </c>
      <c r="N2" t="s">
        <v>18</v>
      </c>
      <c r="O2" t="s">
        <v>18</v>
      </c>
      <c r="P2" t="s">
        <v>18</v>
      </c>
      <c r="R2" t="s">
        <v>6</v>
      </c>
      <c r="S2" s="3">
        <f>M23</f>
        <v>129.43604424292261</v>
      </c>
      <c r="T2" s="3">
        <f>N23</f>
        <v>214.12318179039934</v>
      </c>
      <c r="U2" s="3">
        <f>P23</f>
        <v>446.46608255211447</v>
      </c>
      <c r="V2" s="3">
        <f>O23</f>
        <v>135.65336306222002</v>
      </c>
    </row>
    <row r="3" spans="6:22" x14ac:dyDescent="0.35">
      <c r="F3">
        <v>14.11</v>
      </c>
      <c r="H3">
        <f t="shared" si="0"/>
        <v>-11.068880847759214</v>
      </c>
      <c r="I3" t="e">
        <f t="shared" si="1"/>
        <v>#VALUE!</v>
      </c>
      <c r="J3" t="e">
        <f t="shared" ref="J3:J21" si="2">150-O3</f>
        <v>#VALUE!</v>
      </c>
      <c r="L3">
        <v>14.11</v>
      </c>
      <c r="M3" t="s">
        <v>18</v>
      </c>
      <c r="N3" t="s">
        <v>18</v>
      </c>
      <c r="O3" t="s">
        <v>18</v>
      </c>
      <c r="P3" t="s">
        <v>18</v>
      </c>
      <c r="R3" t="s">
        <v>7</v>
      </c>
      <c r="S3">
        <v>170</v>
      </c>
      <c r="T3">
        <v>230</v>
      </c>
      <c r="U3">
        <v>393</v>
      </c>
      <c r="V3">
        <v>145</v>
      </c>
    </row>
    <row r="4" spans="6:22" x14ac:dyDescent="0.35">
      <c r="F4">
        <v>21.164999999999999</v>
      </c>
      <c r="G4">
        <f t="shared" ref="G4:G19" si="3">H4/F4</f>
        <v>0.62688930211287919</v>
      </c>
      <c r="H4">
        <f t="shared" si="0"/>
        <v>13.268112079219087</v>
      </c>
      <c r="I4">
        <f t="shared" si="1"/>
        <v>74.55</v>
      </c>
      <c r="J4">
        <f t="shared" ref="J4:J12" si="4">ABS(150-O4)</f>
        <v>26.169999999999987</v>
      </c>
      <c r="L4" s="4">
        <v>21.164999999999999</v>
      </c>
      <c r="M4" s="4">
        <v>125.45</v>
      </c>
      <c r="N4" t="s">
        <v>18</v>
      </c>
      <c r="O4" s="4">
        <v>176.17</v>
      </c>
      <c r="P4" t="s">
        <v>18</v>
      </c>
      <c r="R4" t="s">
        <v>8</v>
      </c>
      <c r="S4" s="1">
        <f>((S2-S3)/S2)*100</f>
        <v>-31.338995249999986</v>
      </c>
      <c r="T4" s="1">
        <f t="shared" ref="T4:V4" si="5">((T2-T3)/T2)*100</f>
        <v>-7.414805849999996</v>
      </c>
      <c r="U4" s="1">
        <f t="shared" si="5"/>
        <v>11.975396260000009</v>
      </c>
      <c r="V4" s="1">
        <f t="shared" si="5"/>
        <v>-6.8900886250000015</v>
      </c>
    </row>
    <row r="5" spans="6:22" x14ac:dyDescent="0.35">
      <c r="F5">
        <v>28.22</v>
      </c>
      <c r="G5">
        <f t="shared" si="3"/>
        <v>1.3325692773280435</v>
      </c>
      <c r="H5">
        <f t="shared" si="0"/>
        <v>37.605105006197384</v>
      </c>
      <c r="I5">
        <f t="shared" si="1"/>
        <v>70.599999999999994</v>
      </c>
      <c r="J5">
        <f t="shared" si="4"/>
        <v>26.590000000000003</v>
      </c>
      <c r="L5">
        <v>28.22</v>
      </c>
      <c r="M5" s="4">
        <v>129.4</v>
      </c>
      <c r="N5" t="s">
        <v>18</v>
      </c>
      <c r="O5" s="4">
        <v>176.59</v>
      </c>
      <c r="P5" t="s">
        <v>18</v>
      </c>
    </row>
    <row r="6" spans="6:22" x14ac:dyDescent="0.35">
      <c r="F6">
        <v>35.274999999999999</v>
      </c>
      <c r="G6">
        <f t="shared" si="3"/>
        <v>1.7559772624571421</v>
      </c>
      <c r="H6">
        <f t="shared" si="0"/>
        <v>61.942097933175688</v>
      </c>
      <c r="I6">
        <f t="shared" si="1"/>
        <v>66.360000000000014</v>
      </c>
      <c r="J6">
        <f t="shared" si="4"/>
        <v>26.860000000000014</v>
      </c>
      <c r="L6">
        <v>35.274999999999999</v>
      </c>
      <c r="M6" s="2">
        <v>133.63999999999999</v>
      </c>
      <c r="N6" s="2" t="s">
        <v>18</v>
      </c>
      <c r="O6" s="2">
        <v>176.86</v>
      </c>
      <c r="P6" s="2" t="s">
        <v>18</v>
      </c>
    </row>
    <row r="7" spans="6:22" x14ac:dyDescent="0.35">
      <c r="F7">
        <v>42.33</v>
      </c>
      <c r="G7">
        <f t="shared" si="3"/>
        <v>2.0382492525432077</v>
      </c>
      <c r="H7">
        <f t="shared" si="0"/>
        <v>86.279090860153985</v>
      </c>
      <c r="I7">
        <f t="shared" si="1"/>
        <v>61.710000000000008</v>
      </c>
      <c r="J7">
        <f t="shared" si="4"/>
        <v>29.189999999999998</v>
      </c>
      <c r="L7">
        <v>42.33</v>
      </c>
      <c r="M7" s="2">
        <v>138.29</v>
      </c>
      <c r="N7" s="2" t="s">
        <v>18</v>
      </c>
      <c r="O7" s="2">
        <v>179.19</v>
      </c>
      <c r="P7" s="2" t="s">
        <v>18</v>
      </c>
      <c r="R7" t="s">
        <v>15</v>
      </c>
    </row>
    <row r="8" spans="6:22" x14ac:dyDescent="0.35">
      <c r="F8">
        <v>49.384999999999998</v>
      </c>
      <c r="G8">
        <f t="shared" si="3"/>
        <v>2.2398721026046835</v>
      </c>
      <c r="H8">
        <f t="shared" si="0"/>
        <v>110.6160837871323</v>
      </c>
      <c r="I8">
        <f t="shared" si="1"/>
        <v>57.120000000000005</v>
      </c>
      <c r="J8">
        <f t="shared" si="4"/>
        <v>31.849999999999994</v>
      </c>
      <c r="L8">
        <v>49.384999999999998</v>
      </c>
      <c r="M8" s="2">
        <v>142.88</v>
      </c>
      <c r="N8" s="2" t="s">
        <v>18</v>
      </c>
      <c r="O8" s="2">
        <v>181.85</v>
      </c>
      <c r="P8">
        <v>173.64</v>
      </c>
      <c r="R8">
        <f>(1*10^-3)/(3.4715*10^-6)</f>
        <v>288.05991646262424</v>
      </c>
    </row>
    <row r="9" spans="6:22" x14ac:dyDescent="0.35">
      <c r="F9">
        <v>56.44</v>
      </c>
      <c r="G9">
        <f t="shared" si="3"/>
        <v>2.3910892401507904</v>
      </c>
      <c r="H9">
        <f t="shared" si="0"/>
        <v>134.95307671411061</v>
      </c>
      <c r="I9">
        <f t="shared" si="1"/>
        <v>52.960000000000008</v>
      </c>
      <c r="J9">
        <f t="shared" si="4"/>
        <v>34.659999999999997</v>
      </c>
      <c r="L9">
        <v>56.44</v>
      </c>
      <c r="M9" s="2">
        <v>147.04</v>
      </c>
      <c r="N9">
        <v>147.32</v>
      </c>
      <c r="O9" s="2">
        <v>184.66</v>
      </c>
      <c r="P9" s="2">
        <v>187.67</v>
      </c>
    </row>
    <row r="10" spans="6:22" x14ac:dyDescent="0.35">
      <c r="F10">
        <v>63.494999999999997</v>
      </c>
      <c r="G10">
        <f t="shared" si="3"/>
        <v>2.5087025693533174</v>
      </c>
      <c r="H10">
        <f t="shared" si="0"/>
        <v>159.29006964108888</v>
      </c>
      <c r="I10">
        <f t="shared" si="1"/>
        <v>48.990000000000009</v>
      </c>
      <c r="J10">
        <f t="shared" si="4"/>
        <v>37.800000000000011</v>
      </c>
      <c r="L10">
        <v>63.494999999999997</v>
      </c>
      <c r="M10" s="2">
        <v>151.01</v>
      </c>
      <c r="N10">
        <v>153.19999999999999</v>
      </c>
      <c r="O10" s="2">
        <v>187.8</v>
      </c>
      <c r="P10">
        <v>198.89</v>
      </c>
    </row>
    <row r="11" spans="6:22" x14ac:dyDescent="0.35">
      <c r="F11">
        <v>70.55</v>
      </c>
      <c r="G11">
        <f t="shared" si="3"/>
        <v>2.6027932327153391</v>
      </c>
      <c r="H11">
        <f t="shared" si="0"/>
        <v>183.62706256806717</v>
      </c>
      <c r="I11">
        <f t="shared" si="1"/>
        <v>45.75</v>
      </c>
      <c r="J11">
        <f t="shared" si="4"/>
        <v>41.569999999999993</v>
      </c>
      <c r="L11">
        <v>70.55</v>
      </c>
      <c r="M11" s="2">
        <v>154.25</v>
      </c>
      <c r="N11">
        <v>157.22999999999999</v>
      </c>
      <c r="O11" s="2">
        <v>191.57</v>
      </c>
      <c r="P11">
        <v>210.37</v>
      </c>
    </row>
    <row r="12" spans="6:22" x14ac:dyDescent="0.35">
      <c r="F12">
        <v>77.605000000000004</v>
      </c>
      <c r="G12">
        <f t="shared" si="3"/>
        <v>2.6797765027388123</v>
      </c>
      <c r="H12">
        <f t="shared" si="0"/>
        <v>207.96405549504553</v>
      </c>
      <c r="I12">
        <f t="shared" si="1"/>
        <v>43.16</v>
      </c>
      <c r="J12">
        <f t="shared" si="4"/>
        <v>45.27000000000001</v>
      </c>
      <c r="L12">
        <v>77.605000000000004</v>
      </c>
      <c r="M12" s="2">
        <v>156.84</v>
      </c>
      <c r="N12">
        <v>162.97999999999999</v>
      </c>
      <c r="O12" s="2">
        <v>195.27</v>
      </c>
      <c r="P12">
        <v>222.12</v>
      </c>
    </row>
    <row r="13" spans="6:22" x14ac:dyDescent="0.35">
      <c r="F13">
        <v>84.66</v>
      </c>
      <c r="G13">
        <f t="shared" si="3"/>
        <v>2.7439292277583718</v>
      </c>
      <c r="H13">
        <f t="shared" si="0"/>
        <v>232.30104842202374</v>
      </c>
      <c r="I13">
        <f t="shared" si="1"/>
        <v>40.699999999999989</v>
      </c>
      <c r="J13">
        <f>ABS(150-O13)</f>
        <v>48.819999999999993</v>
      </c>
      <c r="L13">
        <v>84.66</v>
      </c>
      <c r="M13" s="2">
        <v>159.30000000000001</v>
      </c>
      <c r="N13">
        <v>167.88</v>
      </c>
      <c r="O13" s="2">
        <v>198.82</v>
      </c>
      <c r="P13">
        <v>233.16</v>
      </c>
    </row>
    <row r="14" spans="6:22" x14ac:dyDescent="0.35">
      <c r="F14">
        <v>91.715000000000003</v>
      </c>
      <c r="G14">
        <f t="shared" si="3"/>
        <v>2.7982123027749233</v>
      </c>
      <c r="H14">
        <f t="shared" si="0"/>
        <v>256.63804134900209</v>
      </c>
      <c r="I14">
        <f t="shared" si="1"/>
        <v>38.009999999999991</v>
      </c>
      <c r="J14">
        <f t="shared" ref="J14:J21" si="6">ABS(150-O14)</f>
        <v>52.84</v>
      </c>
      <c r="L14">
        <v>91.715000000000003</v>
      </c>
      <c r="M14" s="2">
        <v>161.99</v>
      </c>
      <c r="N14">
        <v>173.95</v>
      </c>
      <c r="O14" s="2">
        <v>202.84</v>
      </c>
      <c r="P14">
        <v>244.73</v>
      </c>
    </row>
    <row r="15" spans="6:22" x14ac:dyDescent="0.35">
      <c r="F15">
        <v>98.77</v>
      </c>
      <c r="G15">
        <f t="shared" si="3"/>
        <v>2.8447406527891101</v>
      </c>
      <c r="H15">
        <f t="shared" si="0"/>
        <v>280.97503427598042</v>
      </c>
      <c r="I15">
        <f t="shared" si="1"/>
        <v>35.52000000000001</v>
      </c>
      <c r="J15">
        <f t="shared" si="6"/>
        <v>55.77000000000001</v>
      </c>
      <c r="L15">
        <v>98.77</v>
      </c>
      <c r="M15" s="2">
        <v>164.48</v>
      </c>
      <c r="N15">
        <v>179.2</v>
      </c>
      <c r="O15" s="2">
        <v>205.77</v>
      </c>
      <c r="P15">
        <v>255.24</v>
      </c>
    </row>
    <row r="16" spans="6:22" x14ac:dyDescent="0.35">
      <c r="F16">
        <v>105.825</v>
      </c>
      <c r="G16">
        <f t="shared" si="3"/>
        <v>2.8850652228014053</v>
      </c>
      <c r="H16">
        <f t="shared" si="0"/>
        <v>305.31202720295875</v>
      </c>
      <c r="I16">
        <f t="shared" si="1"/>
        <v>33.210000000000008</v>
      </c>
      <c r="J16">
        <f t="shared" si="6"/>
        <v>58.490000000000009</v>
      </c>
      <c r="L16">
        <v>105.825</v>
      </c>
      <c r="M16">
        <v>166.79</v>
      </c>
      <c r="N16">
        <v>185.19</v>
      </c>
      <c r="O16">
        <v>208.49</v>
      </c>
      <c r="P16">
        <v>265.72000000000003</v>
      </c>
    </row>
    <row r="17" spans="6:16" x14ac:dyDescent="0.35">
      <c r="F17">
        <v>112.88</v>
      </c>
      <c r="G17">
        <f t="shared" si="3"/>
        <v>2.9203492215621631</v>
      </c>
      <c r="H17">
        <f t="shared" si="0"/>
        <v>329.64902012993696</v>
      </c>
      <c r="I17">
        <f t="shared" si="1"/>
        <v>30.819999999999993</v>
      </c>
      <c r="J17">
        <f t="shared" si="6"/>
        <v>61.849999999999994</v>
      </c>
      <c r="L17">
        <v>112.88</v>
      </c>
      <c r="M17">
        <v>169.18</v>
      </c>
      <c r="N17">
        <v>190.58</v>
      </c>
      <c r="O17">
        <v>211.85</v>
      </c>
      <c r="P17">
        <v>276.06</v>
      </c>
    </row>
    <row r="18" spans="6:16" x14ac:dyDescent="0.35">
      <c r="F18">
        <v>119.935</v>
      </c>
      <c r="G18">
        <f t="shared" si="3"/>
        <v>2.9514821616451852</v>
      </c>
      <c r="H18">
        <f t="shared" si="0"/>
        <v>353.98601305691528</v>
      </c>
      <c r="I18">
        <f t="shared" si="1"/>
        <v>27.759999999999991</v>
      </c>
      <c r="J18">
        <f t="shared" si="6"/>
        <v>65.53</v>
      </c>
      <c r="L18">
        <v>119.935</v>
      </c>
      <c r="M18">
        <v>172.24</v>
      </c>
      <c r="N18">
        <v>195.11</v>
      </c>
      <c r="O18">
        <v>215.53</v>
      </c>
      <c r="P18">
        <v>286.2</v>
      </c>
    </row>
    <row r="19" spans="6:16" x14ac:dyDescent="0.35">
      <c r="F19">
        <v>126.99</v>
      </c>
      <c r="G19">
        <f t="shared" si="3"/>
        <v>2.9791558861634271</v>
      </c>
      <c r="H19">
        <f t="shared" si="0"/>
        <v>378.32300598389361</v>
      </c>
      <c r="I19">
        <f t="shared" si="1"/>
        <v>25.580000000000013</v>
      </c>
      <c r="J19">
        <f t="shared" si="6"/>
        <v>68.710000000000008</v>
      </c>
      <c r="L19">
        <v>126.99</v>
      </c>
      <c r="M19">
        <v>174.42</v>
      </c>
      <c r="N19">
        <v>199.91</v>
      </c>
      <c r="O19">
        <v>218.71</v>
      </c>
      <c r="P19">
        <v>296.79000000000002</v>
      </c>
    </row>
    <row r="20" spans="6:16" x14ac:dyDescent="0.35">
      <c r="F20">
        <v>134.04499999999999</v>
      </c>
      <c r="G20">
        <f>H20/F20</f>
        <v>3.0039165870481699</v>
      </c>
      <c r="H20">
        <f t="shared" si="0"/>
        <v>402.65999891087188</v>
      </c>
      <c r="I20">
        <f t="shared" si="1"/>
        <v>22.539999999999992</v>
      </c>
      <c r="J20">
        <f t="shared" si="6"/>
        <v>72.13</v>
      </c>
      <c r="L20">
        <v>134.04499999999999</v>
      </c>
      <c r="M20">
        <v>177.46</v>
      </c>
      <c r="N20">
        <v>204.78</v>
      </c>
      <c r="O20">
        <v>222.13</v>
      </c>
      <c r="P20">
        <v>307.10000000000002</v>
      </c>
    </row>
    <row r="21" spans="6:16" x14ac:dyDescent="0.35">
      <c r="F21">
        <v>141.1</v>
      </c>
      <c r="G21">
        <f>H21/F21</f>
        <v>3.026201217844438</v>
      </c>
      <c r="H21">
        <f t="shared" si="0"/>
        <v>426.9969918378502</v>
      </c>
      <c r="I21">
        <f t="shared" si="1"/>
        <v>19.849999999999994</v>
      </c>
      <c r="J21">
        <f t="shared" si="6"/>
        <v>75.28</v>
      </c>
      <c r="L21">
        <v>141.1</v>
      </c>
      <c r="M21">
        <v>180.15</v>
      </c>
      <c r="N21">
        <v>209.28</v>
      </c>
      <c r="O21">
        <v>225.28</v>
      </c>
      <c r="P21">
        <v>317.2</v>
      </c>
    </row>
    <row r="23" spans="6:16" x14ac:dyDescent="0.35">
      <c r="H23" t="s">
        <v>14</v>
      </c>
      <c r="I23">
        <f>1.8531^-1*$R$8</f>
        <v>155.44758321872769</v>
      </c>
      <c r="J23">
        <f>2.4716^-1*$R$8</f>
        <v>116.5479513119535</v>
      </c>
      <c r="M23">
        <f>2.2255^-1*$R$8</f>
        <v>129.43604424292261</v>
      </c>
      <c r="N23">
        <f>1.3453^-1*$R$8</f>
        <v>214.12318179039934</v>
      </c>
      <c r="O23">
        <f>2.1235^-1*$R$8</f>
        <v>135.65336306222002</v>
      </c>
      <c r="P23">
        <f>0.6452^-1*$R$8</f>
        <v>446.46608255211447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GFM</vt:lpstr>
      <vt:lpstr>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Olusegun Owoeye</dc:creator>
  <cp:lastModifiedBy>Olusegun Owoeye</cp:lastModifiedBy>
  <dcterms:created xsi:type="dcterms:W3CDTF">2026-05-21T14:48:56Z</dcterms:created>
  <dcterms:modified xsi:type="dcterms:W3CDTF">2026-06-02T12:09:20Z</dcterms:modified>
</cp:coreProperties>
</file>